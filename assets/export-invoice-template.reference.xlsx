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5"/>
    <sheet state="visible" name="Header" sheetId="2" r:id="rId6"/>
    <sheet state="visible" name="Items" sheetId="3" r:id="rId7"/>
    <sheet state="visible" name="Invoice_1" sheetId="4" r:id="rId8"/>
    <sheet state="visible" name="Invoice_2" sheetId="5" r:id="rId9"/>
    <sheet state="visible" name="Invoice_3" sheetId="6" r:id="rId10"/>
  </sheets>
  <definedNames/>
  <calcPr/>
</workbook>
</file>

<file path=xl/sharedStrings.xml><?xml version="1.0" encoding="utf-8"?>
<sst xmlns="http://schemas.openxmlformats.org/spreadsheetml/2006/main" count="201" uniqueCount="174">
  <si>
    <t>INVOICE SETTINGS  /  請求書・出荷情報</t>
  </si>
  <si>
    <t>EXPORT INVOICE  /  使い方</t>
  </si>
  <si>
    <t>ITEMS  /  商品明細：青い入力欄を上から使用・最大30商品</t>
  </si>
  <si>
    <t>sku</t>
  </si>
  <si>
    <t>field_key</t>
  </si>
  <si>
    <t>description</t>
  </si>
  <si>
    <t>hs_code</t>
  </si>
  <si>
    <t>origin_country</t>
  </si>
  <si>
    <t>value（入力）</t>
  </si>
  <si>
    <t>quantity</t>
  </si>
  <si>
    <t>01</t>
  </si>
  <si>
    <t>入力ガイド</t>
  </si>
  <si>
    <t>unit</t>
  </si>
  <si>
    <t>Headerに入力</t>
  </si>
  <si>
    <t>青いセルに請求書情報・取引先・出荷情報を入力します。帳票の文字は英語で入力してください。</t>
  </si>
  <si>
    <t>invoice_type</t>
  </si>
  <si>
    <t>02</t>
  </si>
  <si>
    <t>Itemsに商品を入力</t>
  </si>
  <si>
    <t>3〜32行へ上から入力。SKUとHSコードは文字列です。K・M・N列は数式なので上書きしないでください。</t>
  </si>
  <si>
    <t>03</t>
  </si>
  <si>
    <t>書類種類を選ぶ</t>
  </si>
  <si>
    <t>Header B3でCOMMERCIAL / PROFORMAを切替。Proformaの有効期限・宣言文も確認します。</t>
  </si>
  <si>
    <t>04</t>
  </si>
  <si>
    <t>unit_price</t>
  </si>
  <si>
    <t>入力チェック</t>
  </si>
  <si>
    <t>net_weight</t>
  </si>
  <si>
    <t>Header B53とItems M列を確認。通貨の小数桁はHeader B7。運賃等は商品価格との二重加算を避けます。</t>
  </si>
  <si>
    <t>gross_weight</t>
  </si>
  <si>
    <t>weight_unit</t>
  </si>
  <si>
    <t>05</t>
  </si>
  <si>
    <t>line_total</t>
  </si>
  <si>
    <t>印刷するページ</t>
  </si>
  <si>
    <t>memo</t>
  </si>
  <si>
    <t>Header B49が必要枚数。Invoice_1から必要な枚数だけ印刷します。不要ページは印刷しません。</t>
  </si>
  <si>
    <t>PROFORMA</t>
  </si>
  <si>
    <t>check</t>
  </si>
  <si>
    <t>06</t>
  </si>
  <si>
    <t>position</t>
  </si>
  <si>
    <t>A4設定</t>
  </si>
  <si>
    <t>各InvoiceシートのA1:H37を選択 → 印刷 → 選択中のセル → A4・縦向き・幅に合わせる・余白「狭い」。プレビューで1ページを確認。</t>
  </si>
  <si>
    <t>07</t>
  </si>
  <si>
    <t>COMMERCIAL / PROFORMA を選択</t>
  </si>
  <si>
    <t>発行前</t>
  </si>
  <si>
    <t>宛先・品目・価格・原産国・HS・税務番号・宣言等を確認し、Header B45をFINALへ。署名・日付を記入して発行します。</t>
  </si>
  <si>
    <t>08</t>
  </si>
  <si>
    <t>商品数と長文</t>
  </si>
  <si>
    <t>最大30商品、1ページ10行。空行を挟むと空枠が残ります。商品説明は110文字目安。長い住所や備考は印刷プレビューで確認してください。</t>
  </si>
  <si>
    <t>09</t>
  </si>
  <si>
    <t>重量・箱数</t>
  </si>
  <si>
    <t>invoice_number</t>
  </si>
  <si>
    <t>Headerの重量と箱数は出荷全体。Items H〜J列は任意の行合計重量で、帳票には出荷全体を表示します。重量単位を混在させないでください。</t>
  </si>
  <si>
    <t>請求書番号。文字列として入力</t>
  </si>
  <si>
    <t>invoice_date</t>
  </si>
  <si>
    <t>発行日：YYYY-MM-DD（文字列）</t>
  </si>
  <si>
    <t>currency</t>
  </si>
  <si>
    <t>USD</t>
  </si>
  <si>
    <t>USD / JPY / EUR / GBP。その他の通貨もコード入力可</t>
  </si>
  <si>
    <t>currency_decimals</t>
  </si>
  <si>
    <t>通貨の小数桁：JPY=0、USD/EUR/GBP=2。通貨変更時に確認</t>
  </si>
  <si>
    <t>10</t>
  </si>
  <si>
    <t>CSVとの接続</t>
  </si>
  <si>
    <t>payment_terms</t>
  </si>
  <si>
    <t>Header A2:B45をkey/value、Items A2:J32を商品CSVの基礎にできます。CSV自動取込やWebアプリ自体は未実装です。</t>
  </si>
  <si>
    <t>例：100% payment before shipment</t>
  </si>
  <si>
    <t>11</t>
  </si>
  <si>
    <t>Google Sheets</t>
  </si>
  <si>
    <t>印刷設定は出力時に指定してください。金額は小数2〜3桁表示、単価は4桁表示です。丸めはHeader B7に従います。JPYの.00表示はゼロ小数です。単価は小数4桁以内で入力。</t>
  </si>
  <si>
    <t>incoterms</t>
  </si>
  <si>
    <t>12</t>
  </si>
  <si>
    <t>テンプレートを保存</t>
  </si>
  <si>
    <t>例：FCA Tokyo, Incoterms 2020（指定地を含める）</t>
  </si>
  <si>
    <t>毎回このブックをコピーして使用。計算セルと印刷シートは編集しないでください。31商品以上はアプリ実装時にページ生成を拡張します。</t>
  </si>
  <si>
    <t>13</t>
  </si>
  <si>
    <t>確認の範囲</t>
  </si>
  <si>
    <t>purpose_of_export</t>
  </si>
  <si>
    <t>基本チェックは入力漏れの補助です。提出先の必要項目・HS分類・宣言文の適合性までは判定しません。</t>
  </si>
  <si>
    <t>例：Sale / Sample / Return for repair</t>
  </si>
  <si>
    <t>po_number</t>
  </si>
  <si>
    <t>注文番号（任意）</t>
  </si>
  <si>
    <t>このブックは空の入力テンプレートです。取引内容を入力すると帳票へ自動反映します。実在企業や架空の売買情報は初期入力していません。</t>
  </si>
  <si>
    <t>valid_until</t>
  </si>
  <si>
    <t>Proformaの有効期限：YYYY-MM-DD</t>
  </si>
  <si>
    <t>shipping_date</t>
  </si>
  <si>
    <t>出荷日／予定出荷日：YYYY-MM-DD</t>
  </si>
  <si>
    <t>shipping_method</t>
  </si>
  <si>
    <t>例：Air / Sea / Courier</t>
  </si>
  <si>
    <t>carrier_tracking</t>
  </si>
  <si>
    <t>運送会社とAWB・追跡番号（未確定なら空欄）</t>
  </si>
  <si>
    <t>export_country</t>
  </si>
  <si>
    <t>Japan</t>
  </si>
  <si>
    <t>輸出国</t>
  </si>
  <si>
    <t>destination_country</t>
  </si>
  <si>
    <t>最終仕向国</t>
  </si>
  <si>
    <t>exporter_company</t>
  </si>
  <si>
    <t>輸出者の法人名</t>
  </si>
  <si>
    <t>exporter_address</t>
  </si>
  <si>
    <t>番地・市区町村・都道府県・郵便番号・国（英語）</t>
  </si>
  <si>
    <t>exporter_contact</t>
  </si>
  <si>
    <t>担当者・電話・メール</t>
  </si>
  <si>
    <t>exporter_tax_id</t>
  </si>
  <si>
    <t>登録番号等。必要に応じ入力</t>
  </si>
  <si>
    <t>buyer_company</t>
  </si>
  <si>
    <t>買主の法人名</t>
  </si>
  <si>
    <t>buyer_address</t>
  </si>
  <si>
    <t>買主の住所・郵便番号・国（英語）</t>
  </si>
  <si>
    <t>buyer_contact</t>
  </si>
  <si>
    <t>買主の担当者・電話・メール</t>
  </si>
  <si>
    <t>buyer_tax_id</t>
  </si>
  <si>
    <t>買主の税務番号等</t>
  </si>
  <si>
    <t>ship_to_company</t>
  </si>
  <si>
    <t>配送先の法人名。空欄の場合は買主と同じ</t>
  </si>
  <si>
    <t>ship_to_address</t>
  </si>
  <si>
    <t>配送先が異なる場合の住所・郵便番号・国</t>
  </si>
  <si>
    <t>ship_to_contact</t>
  </si>
  <si>
    <t>配送先の担当者・電話・メール</t>
  </si>
  <si>
    <t>importer_company</t>
  </si>
  <si>
    <t>輸入者が買主と異なる場合の法人名</t>
  </si>
  <si>
    <t>importer_address</t>
  </si>
  <si>
    <t>輸入者の住所・郵便番号・国</t>
  </si>
  <si>
    <t>importer_tax_id</t>
  </si>
  <si>
    <t>輸入者の税務番号等</t>
  </si>
  <si>
    <t>number_of_packages</t>
  </si>
  <si>
    <t>出荷全体の箱数。商品ごとに重複加算しない</t>
  </si>
  <si>
    <t>package_type</t>
  </si>
  <si>
    <t>例：Cartons</t>
  </si>
  <si>
    <t>出荷全体の正味重量。数値</t>
  </si>
  <si>
    <t>梱包込みの総重量。数値</t>
  </si>
  <si>
    <t>EXPORTER / SELLER</t>
  </si>
  <si>
    <t>kg</t>
  </si>
  <si>
    <t>BUYER / BILL TO</t>
  </si>
  <si>
    <t>kg / lb</t>
  </si>
  <si>
    <t>freight_charge</t>
  </si>
  <si>
    <t>商品価格に含まれない追加運賃のみ</t>
  </si>
  <si>
    <t>insurance_charge</t>
  </si>
  <si>
    <t>商品価格に含まれない追加保険料のみ</t>
  </si>
  <si>
    <t>other_charge</t>
  </si>
  <si>
    <t>その他の追加費用。値引きはこの版では扱わない</t>
  </si>
  <si>
    <t>remarks</t>
  </si>
  <si>
    <t>備考。100文字目安。長文は別紙</t>
  </si>
  <si>
    <t>signatory_name</t>
  </si>
  <si>
    <t>署名者名</t>
  </si>
  <si>
    <t>signatory_title</t>
  </si>
  <si>
    <t>署名者の役職</t>
  </si>
  <si>
    <t>commercial_declaration</t>
  </si>
  <si>
    <t>Commercial用宣言。取引・仕向国に応じて入力</t>
  </si>
  <si>
    <t>proforma_declaration</t>
  </si>
  <si>
    <t>Proforma invoice for quotation purposes.</t>
  </si>
  <si>
    <t>Proforma用宣言。用途に応じて書き換える</t>
  </si>
  <si>
    <t>document_status</t>
  </si>
  <si>
    <t>DRAFT</t>
  </si>
  <si>
    <t>確認後にFINALへ。チェック結果だけで通関適合は保証しない</t>
  </si>
  <si>
    <t>AUTOMATIC CHECKS  /  自動計算・確認</t>
  </si>
  <si>
    <t>item_count</t>
  </si>
  <si>
    <t>入力済み商品の数</t>
  </si>
  <si>
    <t>pages</t>
  </si>
  <si>
    <t>SHIP TO / CONSIGNEE</t>
  </si>
  <si>
    <t>IMPORTER</t>
  </si>
  <si>
    <t>必要ページ数。Invoice_1からこの枚数だけ印刷</t>
  </si>
  <si>
    <t>subtotal</t>
  </si>
  <si>
    <t>商品金額の合計</t>
  </si>
  <si>
    <t>total</t>
  </si>
  <si>
    <t>運賃・保険・追加費用を加えた総額</t>
  </si>
  <si>
    <t>item_errors</t>
  </si>
  <si>
    <t>商品入力の要確認行数</t>
  </si>
  <si>
    <t>basic_check</t>
  </si>
  <si>
    <t>No.</t>
  </si>
  <si>
    <t>基本項目のみ検査。税務番号・HS等の必要性は取引ごとに確認</t>
  </si>
  <si>
    <t>Description / SKU</t>
  </si>
  <si>
    <t>HS code</t>
  </si>
  <si>
    <t>Origin</t>
  </si>
  <si>
    <t>Qty</t>
  </si>
  <si>
    <t>Unit</t>
  </si>
  <si>
    <t>Unit price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</si>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</sst>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#"/>
    <numFmt numFmtId="165" formatCode="#,##0.0000"/>
  </numFmts>
  <fonts count="15">
    <font>
      <sz val="11.0"/>
      <color rgb="FF000000"/>
      <name val="Carlito"/>
      <scheme val="minor"/>
    </font>
    <font>
      <b/>
      <sz val="22.0"/>
      <color rgb="FFFFFFFF"/>
      <name val="Arial"/>
    </font>
    <font>
      <b/>
      <sz val="15.0"/>
      <color rgb="FFFFFFFF"/>
      <name val="Arial"/>
    </font>
    <font>
      <b/>
      <sz val="16.0"/>
      <color rgb="FFFFFFFF"/>
      <name val="Arial"/>
    </font>
    <font>
      <sz val="10.0"/>
      <color rgb="FF213745"/>
      <name val="Arial"/>
    </font>
    <font>
      <b/>
      <sz val="10.0"/>
      <color rgb="FF213745"/>
      <name val="Arial"/>
    </font>
    <font>
      <sz val="9.0"/>
      <color rgb="FF213745"/>
      <name val="Arial"/>
    </font>
    <font>
      <sz val="10.0"/>
      <color rgb="FF145B91"/>
      <name val="Arial"/>
    </font>
    <font>
      <sz val="10.0"/>
      <color rgb="FF637581"/>
      <name val="Arial"/>
    </font>
    <font>
      <b/>
      <sz val="23.0"/>
      <color rgb="FFFFFFFF"/>
      <name val="Arial"/>
    </font>
    <font>
      <sz val="10.0"/>
      <color rgb="FFB45B25"/>
      <name val="Arial"/>
    </font>
    <font>
      <sz val="10.0"/>
      <color rgb="FFFFFFFF"/>
      <name val="Arial"/>
    </font>
    <font>
      <b/>
      <sz val="9.0"/>
      <color rgb="FFFFFFFF"/>
      <name val="Arial"/>
    </font>
    <font/>
    <font>
      <sz val="8.0"/>
      <color rgb="FF63758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7354A"/>
        <bgColor rgb="FF17354A"/>
      </patternFill>
    </fill>
    <fill>
      <patternFill patternType="solid">
        <fgColor rgb="FFEAF3F6"/>
        <bgColor rgb="FFEAF3F6"/>
      </patternFill>
    </fill>
    <fill>
      <patternFill patternType="solid">
        <fgColor rgb="FFF3F7F9"/>
        <bgColor rgb="FFF3F7F9"/>
      </patternFill>
    </fill>
    <fill>
      <patternFill patternType="solid">
        <fgColor rgb="FFF0F7FC"/>
        <bgColor rgb="FFF0F7FC"/>
      </patternFill>
    </fill>
    <fill>
      <patternFill patternType="solid">
        <fgColor rgb="FFF5F8FA"/>
        <bgColor rgb="FFF5F8FA"/>
      </patternFill>
    </fill>
  </fills>
  <borders count="3">
    <border/>
    <border>
      <bottom style="hair">
        <color rgb="FFDCE5EA"/>
      </bottom>
    </border>
    <border>
      <bottom style="thin">
        <color rgb="FF9AADB8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ill="1" applyFont="1">
      <alignment vertical="center"/>
    </xf>
    <xf borderId="0" fillId="2" fontId="3" numFmtId="0" xfId="0" applyAlignment="1" applyFill="1" applyFont="1">
      <alignment vertical="center"/>
    </xf>
    <xf borderId="0" fillId="0" fontId="4" numFmtId="0" xfId="0" applyAlignment="1" applyFont="1">
      <alignment vertical="center"/>
    </xf>
    <xf borderId="0" fillId="3" fontId="5" numFmtId="0" xfId="0" applyAlignment="1" applyFill="1" applyFont="1">
      <alignment vertical="center"/>
    </xf>
    <xf borderId="0" fillId="3" fontId="4" numFmtId="0" xfId="0" applyAlignment="1" applyFill="1" applyFont="1">
      <alignment vertical="center"/>
    </xf>
    <xf borderId="0" fillId="4" fontId="4" numFmtId="0" xfId="0" applyAlignment="1" applyFill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5" fontId="7" numFmtId="0" xfId="0" applyAlignment="1" applyFill="1" applyFont="1">
      <alignment shrinkToFit="0" vertical="center" wrapText="1"/>
    </xf>
    <xf borderId="0" fillId="5" fontId="7" numFmtId="49" xfId="0" applyAlignment="1" applyFill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5" fontId="7" numFmtId="2" xfId="0" applyAlignment="1" applyFill="1" applyFont="1" applyNumberFormat="1">
      <alignment shrinkToFit="0" vertical="center" wrapText="1"/>
    </xf>
    <xf borderId="0" fillId="5" fontId="7" numFmtId="164" xfId="0" applyAlignment="1" applyFill="1" applyFont="1" applyNumberFormat="1">
      <alignment shrinkToFit="0" vertical="center" wrapText="1"/>
    </xf>
    <xf borderId="0" fillId="2" fontId="9" numFmtId="0" xfId="0" applyAlignment="1" applyFill="1" applyFont="1">
      <alignment vertical="center"/>
    </xf>
    <xf borderId="0" fillId="3" fontId="4" numFmtId="0" xfId="0" applyAlignment="1" applyFill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5" fontId="4" numFmtId="0" xfId="0" applyAlignment="1" applyFill="1" applyFont="1">
      <alignment shrinkToFit="0" vertical="center" wrapText="1"/>
    </xf>
    <xf borderId="0" fillId="0" fontId="10" numFmtId="0" xfId="0" applyAlignment="1" applyFont="1">
      <alignment vertical="center"/>
    </xf>
    <xf borderId="0" fillId="2" fontId="11" numFmtId="0" xfId="0" applyAlignment="1" applyFill="1" applyFont="1">
      <alignment vertical="center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vertical="center"/>
    </xf>
    <xf borderId="0" fillId="2" fontId="12" numFmtId="0" xfId="0" applyAlignment="1" applyFill="1" applyFont="1">
      <alignment vertical="center"/>
    </xf>
    <xf borderId="1" fillId="6" fontId="4" numFmtId="0" xfId="0" applyAlignment="1" applyBorder="1" applyFill="1" applyFont="1">
      <alignment shrinkToFit="0" vertical="center" wrapText="1"/>
    </xf>
    <xf borderId="1" fillId="6" fontId="4" numFmtId="2" xfId="0" applyAlignment="1" applyBorder="1" applyFill="1" applyFont="1" applyNumberFormat="1">
      <alignment shrinkToFit="0" vertical="center" wrapText="1"/>
    </xf>
    <xf borderId="1" fillId="6" fontId="4" numFmtId="165" xfId="0" applyAlignment="1" applyBorder="1" applyFill="1" applyFont="1" applyNumberFormat="1">
      <alignment shrinkToFit="0" vertical="center" wrapText="1"/>
    </xf>
    <xf borderId="1" fillId="6" fontId="4" numFmtId="164" xfId="0" applyAlignment="1" applyBorder="1" applyFill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2" xfId="0" applyAlignment="1" applyBorder="1" applyFont="1" applyNumberFormat="1">
      <alignment shrinkToFit="0" vertical="center" wrapText="1"/>
    </xf>
    <xf borderId="1" fillId="0" fontId="4" numFmtId="165" xfId="0" applyAlignment="1" applyBorder="1" applyFont="1" applyNumberFormat="1">
      <alignment shrinkToFit="0" vertical="center" wrapText="1"/>
    </xf>
    <xf borderId="1" fillId="0" fontId="4" numFmtId="164" xfId="0" applyAlignment="1" applyBorder="1" applyFont="1" applyNumberFormat="1">
      <alignment shrinkToFit="0" vertical="center" wrapText="1"/>
    </xf>
    <xf borderId="0" fillId="3" fontId="5" numFmtId="164" xfId="0" applyAlignment="1" applyFill="1" applyFont="1" applyNumberFormat="1">
      <alignment vertical="center"/>
    </xf>
    <xf borderId="0" fillId="0" fontId="6" numFmtId="0" xfId="0" applyAlignment="1" applyFont="1">
      <alignment shrinkToFit="0" vertical="center" wrapText="1"/>
    </xf>
    <xf borderId="2" fillId="0" fontId="13" numFmtId="0" xfId="0" applyBorder="1" applyFont="1"/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2" width="31.0"/>
    <col customWidth="1" min="3" max="4" width="42.0"/>
    <col customWidth="1" min="5" max="26" width="8.63"/>
  </cols>
  <sheetData>
    <row r="1" ht="22.5" customHeight="1">
      <c r="A1" s="1" t="s">
        <v>1</v>
      </c>
    </row>
    <row r="2" ht="22.5" customHeight="1"/>
    <row r="3" ht="22.5" customHeight="1">
      <c r="A3" s="4"/>
      <c r="B3" s="4"/>
      <c r="C3" s="4"/>
      <c r="D3" s="4"/>
    </row>
    <row r="4" ht="51.75" customHeight="1">
      <c r="A4" s="7" t="s">
        <v>10</v>
      </c>
      <c r="B4" s="7" t="s">
        <v>13</v>
      </c>
      <c r="C4" s="7" t="s">
        <v>14</v>
      </c>
    </row>
    <row r="5" ht="51.75" customHeight="1">
      <c r="A5" s="9" t="s">
        <v>16</v>
      </c>
      <c r="B5" s="9" t="s">
        <v>17</v>
      </c>
      <c r="C5" s="9" t="s">
        <v>18</v>
      </c>
    </row>
    <row r="6" ht="51.75" customHeight="1">
      <c r="A6" s="7" t="s">
        <v>19</v>
      </c>
      <c r="B6" s="7" t="s">
        <v>20</v>
      </c>
      <c r="C6" s="7" t="s">
        <v>21</v>
      </c>
    </row>
    <row r="7" ht="51.75" customHeight="1">
      <c r="A7" s="9" t="s">
        <v>22</v>
      </c>
      <c r="B7" s="9" t="s">
        <v>24</v>
      </c>
      <c r="C7" s="9" t="s">
        <v>26</v>
      </c>
    </row>
    <row r="8" ht="51.75" customHeight="1">
      <c r="A8" s="7" t="s">
        <v>29</v>
      </c>
      <c r="B8" s="7" t="s">
        <v>31</v>
      </c>
      <c r="C8" s="7" t="s">
        <v>33</v>
      </c>
    </row>
    <row r="9" ht="51.75" customHeight="1">
      <c r="A9" s="9" t="s">
        <v>36</v>
      </c>
      <c r="B9" s="9" t="s">
        <v>38</v>
      </c>
      <c r="C9" s="9" t="s">
        <v>39</v>
      </c>
    </row>
    <row r="10" ht="51.75" customHeight="1">
      <c r="A10" s="7" t="s">
        <v>40</v>
      </c>
      <c r="B10" s="7" t="s">
        <v>42</v>
      </c>
      <c r="C10" s="7" t="s">
        <v>43</v>
      </c>
    </row>
    <row r="11" ht="51.75" customHeight="1">
      <c r="A11" s="9" t="s">
        <v>44</v>
      </c>
      <c r="B11" s="9" t="s">
        <v>45</v>
      </c>
      <c r="C11" s="9" t="s">
        <v>46</v>
      </c>
    </row>
    <row r="12" ht="51.75" customHeight="1">
      <c r="A12" s="7" t="s">
        <v>47</v>
      </c>
      <c r="B12" s="7" t="s">
        <v>48</v>
      </c>
      <c r="C12" s="7" t="s">
        <v>50</v>
      </c>
    </row>
    <row r="13" ht="51.75" customHeight="1">
      <c r="A13" s="9" t="s">
        <v>59</v>
      </c>
      <c r="B13" s="9" t="s">
        <v>60</v>
      </c>
      <c r="C13" s="9" t="s">
        <v>62</v>
      </c>
    </row>
    <row r="14" ht="51.75" customHeight="1">
      <c r="A14" s="7" t="s">
        <v>64</v>
      </c>
      <c r="B14" s="7" t="s">
        <v>65</v>
      </c>
      <c r="C14" s="7" t="s">
        <v>66</v>
      </c>
    </row>
    <row r="15" ht="51.75" customHeight="1">
      <c r="A15" s="9" t="s">
        <v>68</v>
      </c>
      <c r="B15" s="9" t="s">
        <v>69</v>
      </c>
      <c r="C15" s="9" t="s">
        <v>71</v>
      </c>
    </row>
    <row r="16" ht="51.75" customHeight="1">
      <c r="A16" s="7" t="s">
        <v>72</v>
      </c>
      <c r="B16" s="7" t="s">
        <v>73</v>
      </c>
      <c r="C16" s="7" t="s">
        <v>75</v>
      </c>
    </row>
    <row r="17" ht="22.5" customHeight="1">
      <c r="A17" s="4"/>
      <c r="B17" s="4"/>
      <c r="C17" s="4"/>
      <c r="D17" s="4"/>
    </row>
    <row r="18" ht="22.5" customHeight="1">
      <c r="A18" s="4"/>
      <c r="B18" s="4"/>
      <c r="C18" s="4"/>
      <c r="D18" s="4"/>
    </row>
    <row r="19" ht="22.5" customHeight="1">
      <c r="A19" s="16" t="s">
        <v>79</v>
      </c>
    </row>
    <row r="20" ht="22.5" customHeight="1"/>
    <row r="21" ht="22.5" customHeight="1">
      <c r="A21" s="4"/>
      <c r="B21" s="4"/>
      <c r="C21" s="4"/>
      <c r="D21" s="4"/>
    </row>
    <row r="22" ht="22.5" customHeight="1">
      <c r="A22" s="4"/>
      <c r="B22" s="4"/>
      <c r="C22" s="4"/>
      <c r="D22" s="4"/>
    </row>
    <row r="23" ht="22.5" customHeight="1">
      <c r="A23" s="4"/>
      <c r="B23" s="4"/>
      <c r="C23" s="4"/>
      <c r="D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0:D10"/>
    <mergeCell ref="C11:D11"/>
    <mergeCell ref="C12:D12"/>
    <mergeCell ref="C13:D13"/>
    <mergeCell ref="C14:D14"/>
    <mergeCell ref="C15:D15"/>
    <mergeCell ref="C16:D16"/>
    <mergeCell ref="A19:D20"/>
    <mergeCell ref="A1:D2"/>
    <mergeCell ref="C4:D4"/>
    <mergeCell ref="C5:D5"/>
    <mergeCell ref="C6:D6"/>
    <mergeCell ref="C7:D7"/>
    <mergeCell ref="C8:D8"/>
    <mergeCell ref="C9:D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60.0"/>
    <col customWidth="1" min="3" max="3" width="70.0"/>
    <col customWidth="1" min="4" max="26" width="8.63"/>
  </cols>
  <sheetData>
    <row r="1" ht="33.75" customHeight="1">
      <c r="A1" s="3" t="s">
        <v>0</v>
      </c>
    </row>
    <row r="2" ht="22.5" customHeight="1">
      <c r="A2" s="6" t="s">
        <v>4</v>
      </c>
      <c r="B2" s="6" t="s">
        <v>8</v>
      </c>
      <c r="C2" s="6" t="s">
        <v>11</v>
      </c>
    </row>
    <row r="3" ht="22.5" customHeight="1">
      <c r="A3" s="8" t="s">
        <v>15</v>
      </c>
      <c r="B3" s="10" t="s">
        <v>34</v>
      </c>
      <c r="C3" s="12" t="s">
        <v>41</v>
      </c>
    </row>
    <row r="4" ht="22.5" customHeight="1">
      <c r="A4" s="8" t="s">
        <v>49</v>
      </c>
      <c r="B4" s="11"/>
      <c r="C4" s="12" t="s">
        <v>51</v>
      </c>
    </row>
    <row r="5" ht="22.5" customHeight="1">
      <c r="A5" s="8" t="s">
        <v>52</v>
      </c>
      <c r="B5" s="11"/>
      <c r="C5" s="12" t="s">
        <v>53</v>
      </c>
    </row>
    <row r="6" ht="22.5" customHeight="1">
      <c r="A6" s="8" t="s">
        <v>54</v>
      </c>
      <c r="B6" s="10" t="s">
        <v>55</v>
      </c>
      <c r="C6" s="12" t="s">
        <v>56</v>
      </c>
    </row>
    <row r="7" ht="22.5" customHeight="1">
      <c r="A7" s="8" t="s">
        <v>57</v>
      </c>
      <c r="B7" s="10">
        <v>2.0</v>
      </c>
      <c r="C7" s="12" t="s">
        <v>58</v>
      </c>
    </row>
    <row r="8" ht="22.5" customHeight="1">
      <c r="A8" s="8" t="s">
        <v>61</v>
      </c>
      <c r="B8" s="10"/>
      <c r="C8" s="12" t="s">
        <v>63</v>
      </c>
    </row>
    <row r="9" ht="22.5" customHeight="1">
      <c r="A9" s="8" t="s">
        <v>67</v>
      </c>
      <c r="B9" s="10"/>
      <c r="C9" s="12" t="s">
        <v>70</v>
      </c>
    </row>
    <row r="10" ht="22.5" customHeight="1">
      <c r="A10" s="8" t="s">
        <v>74</v>
      </c>
      <c r="B10" s="10"/>
      <c r="C10" s="12" t="s">
        <v>76</v>
      </c>
    </row>
    <row r="11" ht="22.5" customHeight="1">
      <c r="A11" s="8" t="s">
        <v>77</v>
      </c>
      <c r="B11" s="11"/>
      <c r="C11" s="12" t="s">
        <v>78</v>
      </c>
    </row>
    <row r="12" ht="22.5" customHeight="1">
      <c r="A12" s="8" t="s">
        <v>80</v>
      </c>
      <c r="B12" s="11"/>
      <c r="C12" s="12" t="s">
        <v>81</v>
      </c>
    </row>
    <row r="13" ht="22.5" customHeight="1">
      <c r="A13" s="8" t="s">
        <v>82</v>
      </c>
      <c r="B13" s="11"/>
      <c r="C13" s="12" t="s">
        <v>83</v>
      </c>
    </row>
    <row r="14" ht="22.5" customHeight="1">
      <c r="A14" s="8" t="s">
        <v>84</v>
      </c>
      <c r="B14" s="10"/>
      <c r="C14" s="12" t="s">
        <v>85</v>
      </c>
    </row>
    <row r="15" ht="22.5" customHeight="1">
      <c r="A15" s="8" t="s">
        <v>86</v>
      </c>
      <c r="B15" s="11"/>
      <c r="C15" s="12" t="s">
        <v>87</v>
      </c>
    </row>
    <row r="16" ht="22.5" customHeight="1">
      <c r="A16" s="8" t="s">
        <v>88</v>
      </c>
      <c r="B16" s="10" t="s">
        <v>89</v>
      </c>
      <c r="C16" s="12" t="s">
        <v>90</v>
      </c>
    </row>
    <row r="17" ht="22.5" customHeight="1">
      <c r="A17" s="8" t="s">
        <v>91</v>
      </c>
      <c r="B17" s="10"/>
      <c r="C17" s="12" t="s">
        <v>92</v>
      </c>
    </row>
    <row r="18" ht="22.5" customHeight="1">
      <c r="A18" s="8" t="s">
        <v>93</v>
      </c>
      <c r="B18" s="10"/>
      <c r="C18" s="12" t="s">
        <v>94</v>
      </c>
    </row>
    <row r="19" ht="42.0" customHeight="1">
      <c r="A19" s="8" t="s">
        <v>95</v>
      </c>
      <c r="B19" s="10"/>
      <c r="C19" s="12" t="s">
        <v>96</v>
      </c>
    </row>
    <row r="20" ht="42.0" customHeight="1">
      <c r="A20" s="8" t="s">
        <v>97</v>
      </c>
      <c r="B20" s="10"/>
      <c r="C20" s="12" t="s">
        <v>98</v>
      </c>
    </row>
    <row r="21" ht="22.5" customHeight="1">
      <c r="A21" s="8" t="s">
        <v>99</v>
      </c>
      <c r="B21" s="11"/>
      <c r="C21" s="12" t="s">
        <v>100</v>
      </c>
    </row>
    <row r="22" ht="22.5" customHeight="1">
      <c r="A22" s="8" t="s">
        <v>101</v>
      </c>
      <c r="B22" s="10"/>
      <c r="C22" s="12" t="s">
        <v>102</v>
      </c>
    </row>
    <row r="23" ht="42.0" customHeight="1">
      <c r="A23" s="8" t="s">
        <v>103</v>
      </c>
      <c r="B23" s="10"/>
      <c r="C23" s="12" t="s">
        <v>104</v>
      </c>
    </row>
    <row r="24" ht="42.0" customHeight="1">
      <c r="A24" s="8" t="s">
        <v>105</v>
      </c>
      <c r="B24" s="10"/>
      <c r="C24" s="12" t="s">
        <v>106</v>
      </c>
    </row>
    <row r="25" ht="22.5" customHeight="1">
      <c r="A25" s="8" t="s">
        <v>107</v>
      </c>
      <c r="B25" s="11"/>
      <c r="C25" s="12" t="s">
        <v>108</v>
      </c>
    </row>
    <row r="26" ht="22.5" customHeight="1">
      <c r="A26" s="8" t="s">
        <v>109</v>
      </c>
      <c r="B26" s="10"/>
      <c r="C26" s="12" t="s">
        <v>110</v>
      </c>
    </row>
    <row r="27" ht="42.0" customHeight="1">
      <c r="A27" s="8" t="s">
        <v>111</v>
      </c>
      <c r="B27" s="10"/>
      <c r="C27" s="12" t="s">
        <v>112</v>
      </c>
    </row>
    <row r="28" ht="42.0" customHeight="1">
      <c r="A28" s="8" t="s">
        <v>113</v>
      </c>
      <c r="B28" s="10"/>
      <c r="C28" s="12" t="s">
        <v>114</v>
      </c>
    </row>
    <row r="29" ht="22.5" customHeight="1">
      <c r="A29" s="8" t="s">
        <v>115</v>
      </c>
      <c r="B29" s="10"/>
      <c r="C29" s="12" t="s">
        <v>116</v>
      </c>
    </row>
    <row r="30" ht="42.0" customHeight="1">
      <c r="A30" s="8" t="s">
        <v>117</v>
      </c>
      <c r="B30" s="10"/>
      <c r="C30" s="12" t="s">
        <v>118</v>
      </c>
    </row>
    <row r="31" ht="22.5" customHeight="1">
      <c r="A31" s="8" t="s">
        <v>119</v>
      </c>
      <c r="B31" s="11"/>
      <c r="C31" s="12" t="s">
        <v>120</v>
      </c>
    </row>
    <row r="32" ht="22.5" customHeight="1">
      <c r="A32" s="8" t="s">
        <v>121</v>
      </c>
      <c r="B32" s="10"/>
      <c r="C32" s="12" t="s">
        <v>122</v>
      </c>
    </row>
    <row r="33" ht="22.5" customHeight="1">
      <c r="A33" s="8" t="s">
        <v>123</v>
      </c>
      <c r="B33" s="10"/>
      <c r="C33" s="12" t="s">
        <v>124</v>
      </c>
    </row>
    <row r="34" ht="22.5" customHeight="1">
      <c r="A34" s="8" t="s">
        <v>25</v>
      </c>
      <c r="B34" s="10"/>
      <c r="C34" s="12" t="s">
        <v>125</v>
      </c>
    </row>
    <row r="35" ht="22.5" customHeight="1">
      <c r="A35" s="8" t="s">
        <v>27</v>
      </c>
      <c r="B35" s="10"/>
      <c r="C35" s="12" t="s">
        <v>126</v>
      </c>
    </row>
    <row r="36" ht="22.5" customHeight="1">
      <c r="A36" s="8" t="s">
        <v>28</v>
      </c>
      <c r="B36" s="10" t="s">
        <v>128</v>
      </c>
      <c r="C36" s="12" t="s">
        <v>130</v>
      </c>
    </row>
    <row r="37" ht="22.5" customHeight="1">
      <c r="A37" s="8" t="s">
        <v>131</v>
      </c>
      <c r="B37" s="10">
        <v>0.0</v>
      </c>
      <c r="C37" s="12" t="s">
        <v>132</v>
      </c>
    </row>
    <row r="38" ht="22.5" customHeight="1">
      <c r="A38" s="8" t="s">
        <v>133</v>
      </c>
      <c r="B38" s="10">
        <v>0.0</v>
      </c>
      <c r="C38" s="12" t="s">
        <v>134</v>
      </c>
    </row>
    <row r="39" ht="22.5" customHeight="1">
      <c r="A39" s="8" t="s">
        <v>135</v>
      </c>
      <c r="B39" s="10">
        <v>0.0</v>
      </c>
      <c r="C39" s="12" t="s">
        <v>136</v>
      </c>
    </row>
    <row r="40" ht="42.0" customHeight="1">
      <c r="A40" s="8" t="s">
        <v>137</v>
      </c>
      <c r="B40" s="10"/>
      <c r="C40" s="12" t="s">
        <v>138</v>
      </c>
    </row>
    <row r="41" ht="22.5" customHeight="1">
      <c r="A41" s="8" t="s">
        <v>139</v>
      </c>
      <c r="B41" s="10"/>
      <c r="C41" s="12" t="s">
        <v>140</v>
      </c>
    </row>
    <row r="42" ht="22.5" customHeight="1">
      <c r="A42" s="8" t="s">
        <v>141</v>
      </c>
      <c r="B42" s="10"/>
      <c r="C42" s="12" t="s">
        <v>142</v>
      </c>
    </row>
    <row r="43" ht="42.0" customHeight="1">
      <c r="A43" s="8" t="s">
        <v>143</v>
      </c>
      <c r="B43" s="10"/>
      <c r="C43" s="12" t="s">
        <v>144</v>
      </c>
    </row>
    <row r="44" ht="42.0" customHeight="1">
      <c r="A44" s="8" t="s">
        <v>145</v>
      </c>
      <c r="B44" s="10" t="s">
        <v>146</v>
      </c>
      <c r="C44" s="12" t="s">
        <v>147</v>
      </c>
    </row>
    <row r="45" ht="22.5" customHeight="1">
      <c r="A45" s="8" t="s">
        <v>148</v>
      </c>
      <c r="B45" s="10" t="s">
        <v>149</v>
      </c>
      <c r="C45" s="12" t="s">
        <v>150</v>
      </c>
    </row>
    <row r="46" ht="22.5" customHeight="1">
      <c r="A46" s="4"/>
      <c r="B46" s="4"/>
      <c r="C46" s="4"/>
    </row>
    <row r="47" ht="22.5" customHeight="1">
      <c r="A47" s="20" t="s">
        <v>151</v>
      </c>
    </row>
    <row r="48" ht="22.5" customHeight="1">
      <c r="A48" s="4" t="s">
        <v>152</v>
      </c>
      <c r="B48" s="4">
        <f>COUNT(Items!N3:N32)</f>
        <v>0</v>
      </c>
      <c r="C48" s="4" t="s">
        <v>153</v>
      </c>
    </row>
    <row r="49" ht="22.5" customHeight="1">
      <c r="A49" s="4" t="s">
        <v>154</v>
      </c>
      <c r="B49" s="4">
        <f>MAX(1,ROUNDUP(MAX(Items!N3:N32)/10,0))</f>
        <v>1</v>
      </c>
      <c r="C49" s="4" t="s">
        <v>157</v>
      </c>
    </row>
    <row r="50" ht="22.5" customHeight="1">
      <c r="A50" s="4" t="s">
        <v>158</v>
      </c>
      <c r="B50" s="22">
        <f>SUM(Items!K3:K32)</f>
        <v>0</v>
      </c>
      <c r="C50" s="4" t="s">
        <v>159</v>
      </c>
    </row>
    <row r="51" ht="22.5" customHeight="1">
      <c r="A51" s="4" t="s">
        <v>160</v>
      </c>
      <c r="B51" s="22">
        <f>ROUND(B50+SUM(B37:B39),B7)</f>
        <v>0</v>
      </c>
      <c r="C51" s="4" t="s">
        <v>161</v>
      </c>
    </row>
    <row r="52" ht="22.5" customHeight="1">
      <c r="A52" s="4" t="s">
        <v>162</v>
      </c>
      <c r="B52" s="4">
        <f>COUNTIF(Items!M3:M32,"CHECK*")</f>
        <v>0</v>
      </c>
      <c r="C52" s="4" t="s">
        <v>163</v>
      </c>
    </row>
    <row r="53" ht="22.5" customHeight="1">
      <c r="A53" s="4" t="s">
        <v>164</v>
      </c>
      <c r="B53" s="4" t="str">
        <f>IF(OR(B4="",B5="",B6="",B8="",B9="",B10="",B17="",B18="",B19="",B22="",B23="",B48=0,B52&gt;0,COUNT(B37:B39)&lt;&gt;3,MIN(B37:B39)&lt;0,AND(B26&lt;&gt;"",B27=""),AND(B29&lt;&gt;"",B30="")),"CHECK INPUTS",IF(OR(AND(B6="JPY",B7&lt;&gt;0),AND(OR(B6="USD",B6="EUR",B6="GBP"),B7&lt;&gt;2)),"CHECK DECIMALS","BASIC CHECK OK"))</f>
        <v>CHECK INPUTS</v>
      </c>
      <c r="C53" s="4" t="s">
        <v>166</v>
      </c>
    </row>
    <row r="54" ht="22.5" customHeight="1">
      <c r="A54" s="4"/>
      <c r="B54" s="4"/>
      <c r="C54" s="4"/>
    </row>
    <row r="55" ht="22.5" customHeight="1">
      <c r="A55" s="4"/>
      <c r="B55" s="4"/>
      <c r="C55" s="4"/>
    </row>
    <row r="56" ht="22.5" customHeight="1">
      <c r="A56" s="4"/>
      <c r="B56" s="4"/>
      <c r="C56" s="4"/>
    </row>
    <row r="57" ht="22.5" customHeight="1">
      <c r="A57" s="4"/>
      <c r="B57" s="4"/>
      <c r="C57" s="4"/>
    </row>
    <row r="58" ht="22.5" customHeight="1">
      <c r="A58" s="4"/>
      <c r="B58" s="4"/>
      <c r="C58" s="4"/>
    </row>
    <row r="59" ht="22.5" customHeight="1">
      <c r="A59" s="4"/>
      <c r="B59" s="4"/>
      <c r="C59" s="4"/>
    </row>
    <row r="60" ht="22.5" customHeight="1">
      <c r="A60" s="4"/>
      <c r="B60" s="4"/>
      <c r="C60" s="4"/>
    </row>
    <row r="61" ht="22.5" customHeight="1">
      <c r="A61" s="4"/>
      <c r="B61" s="4"/>
      <c r="C61" s="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47:C47"/>
  </mergeCells>
  <dataValidations>
    <dataValidation type="list" allowBlank="1" sqref="B3">
      <formula1>"COMMERCIAL,PROFORMA"</formula1>
    </dataValidation>
    <dataValidation type="list" allowBlank="1" sqref="B45">
      <formula1>"DRAFT,FINAL"</formula1>
    </dataValidation>
    <dataValidation type="decimal" allowBlank="1" sqref="B7">
      <formula1>0.0</formula1>
      <formula2>3.0</formula2>
    </dataValidation>
    <dataValidation type="decimal" operator="greaterThanOrEqual" allowBlank="1" sqref="B34:B35 B37:B39">
      <formula1>0.0</formula1>
    </dataValidation>
    <dataValidation type="list" allowBlank="1" sqref="B36">
      <formula1>"kg,lb"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2" width="48.0"/>
    <col customWidth="1" min="3" max="11" width="15.0"/>
    <col customWidth="1" min="12" max="13" width="30.0"/>
    <col customWidth="1" min="14" max="14" width="15.0"/>
    <col customWidth="1" min="15" max="26" width="8.63"/>
  </cols>
  <sheetData>
    <row r="1" ht="33.75" customHeight="1">
      <c r="A1" s="2" t="s">
        <v>2</v>
      </c>
    </row>
    <row r="2" ht="22.5" customHeight="1">
      <c r="A2" s="5" t="s">
        <v>3</v>
      </c>
      <c r="B2" s="5" t="s">
        <v>5</v>
      </c>
      <c r="C2" s="5" t="s">
        <v>6</v>
      </c>
      <c r="D2" s="5" t="s">
        <v>7</v>
      </c>
      <c r="E2" s="5" t="s">
        <v>9</v>
      </c>
      <c r="F2" s="5" t="s">
        <v>12</v>
      </c>
      <c r="G2" s="5" t="s">
        <v>23</v>
      </c>
      <c r="H2" s="5" t="s">
        <v>25</v>
      </c>
      <c r="I2" s="5" t="s">
        <v>27</v>
      </c>
      <c r="J2" s="5" t="s">
        <v>28</v>
      </c>
      <c r="K2" s="5" t="s">
        <v>30</v>
      </c>
      <c r="L2" s="5" t="s">
        <v>32</v>
      </c>
      <c r="M2" s="5" t="s">
        <v>35</v>
      </c>
      <c r="N2" s="5" t="s">
        <v>37</v>
      </c>
    </row>
    <row r="3" ht="42.0" customHeight="1">
      <c r="A3" s="11"/>
      <c r="B3" s="11"/>
      <c r="C3" s="11"/>
      <c r="D3" s="11"/>
      <c r="E3" s="13"/>
      <c r="F3" s="10"/>
      <c r="G3" s="14"/>
      <c r="H3" s="14"/>
      <c r="I3" s="14"/>
      <c r="J3" s="14"/>
      <c r="K3" s="17" t="str">
        <f>IF(OR(B3="",E3="",G3=""),"",ROUND(E3*G3,Header!$B$7))</f>
        <v/>
      </c>
      <c r="L3" s="18"/>
      <c r="M3" s="9" t="str">
        <f t="shared" ref="M3:M32" si="1">IF(COUNTA(A3:J3)=0,"",IF(OR(B3="",D3="",NOT(ISNUMBER(E3)),E3&lt;=0,F3="",NOT(ISNUMBER(G3)),G3&lt;0,G3&lt;&gt;ROUND(G3,4)),"CHECK REQUIRED FIELDS",IF(LEN(B3)&gt;110,"CHECK DESCRIPTION LENGTH","OK")))</f>
        <v/>
      </c>
      <c r="N3" s="9" t="str">
        <f>IF(B3="","",1)</f>
        <v/>
      </c>
    </row>
    <row r="4" ht="42.0" customHeight="1">
      <c r="A4" s="11"/>
      <c r="B4" s="11"/>
      <c r="C4" s="11"/>
      <c r="D4" s="11"/>
      <c r="E4" s="13"/>
      <c r="F4" s="10"/>
      <c r="G4" s="14"/>
      <c r="H4" s="14"/>
      <c r="I4" s="14"/>
      <c r="J4" s="14"/>
      <c r="K4" s="17" t="str">
        <f>IF(OR(B4="",E4="",G4=""),"",ROUND(E4*G4,Header!$B$7))</f>
        <v/>
      </c>
      <c r="L4" s="18"/>
      <c r="M4" s="9" t="str">
        <f t="shared" si="1"/>
        <v/>
      </c>
      <c r="N4" s="9" t="str">
        <f>IF(B4="","",2)</f>
        <v/>
      </c>
    </row>
    <row r="5" ht="42.0" customHeight="1">
      <c r="A5" s="11"/>
      <c r="B5" s="11"/>
      <c r="C5" s="11"/>
      <c r="D5" s="11"/>
      <c r="E5" s="13"/>
      <c r="F5" s="10"/>
      <c r="G5" s="14"/>
      <c r="H5" s="14"/>
      <c r="I5" s="14"/>
      <c r="J5" s="14"/>
      <c r="K5" s="17" t="str">
        <f>IF(OR(B5="",E5="",G5=""),"",ROUND(E5*G5,Header!$B$7))</f>
        <v/>
      </c>
      <c r="L5" s="18"/>
      <c r="M5" s="9" t="str">
        <f t="shared" si="1"/>
        <v/>
      </c>
      <c r="N5" s="9" t="str">
        <f>IF(B5="","",3)</f>
        <v/>
      </c>
    </row>
    <row r="6" ht="42.0" customHeight="1">
      <c r="A6" s="11"/>
      <c r="B6" s="11"/>
      <c r="C6" s="11"/>
      <c r="D6" s="11"/>
      <c r="E6" s="13"/>
      <c r="F6" s="10"/>
      <c r="G6" s="14"/>
      <c r="H6" s="14"/>
      <c r="I6" s="14"/>
      <c r="J6" s="14"/>
      <c r="K6" s="17" t="str">
        <f>IF(OR(B6="",E6="",G6=""),"",ROUND(E6*G6,Header!$B$7))</f>
        <v/>
      </c>
      <c r="L6" s="18"/>
      <c r="M6" s="9" t="str">
        <f t="shared" si="1"/>
        <v/>
      </c>
      <c r="N6" s="9" t="str">
        <f>IF(B6="","",4)</f>
        <v/>
      </c>
    </row>
    <row r="7" ht="42.0" customHeight="1">
      <c r="A7" s="11"/>
      <c r="B7" s="11"/>
      <c r="C7" s="11"/>
      <c r="D7" s="11"/>
      <c r="E7" s="13"/>
      <c r="F7" s="10"/>
      <c r="G7" s="14"/>
      <c r="H7" s="14"/>
      <c r="I7" s="14"/>
      <c r="J7" s="14"/>
      <c r="K7" s="17" t="str">
        <f>IF(OR(B7="",E7="",G7=""),"",ROUND(E7*G7,Header!$B$7))</f>
        <v/>
      </c>
      <c r="L7" s="18"/>
      <c r="M7" s="9" t="str">
        <f t="shared" si="1"/>
        <v/>
      </c>
      <c r="N7" s="9" t="str">
        <f>IF(B7="","",5)</f>
        <v/>
      </c>
    </row>
    <row r="8" ht="42.0" customHeight="1">
      <c r="A8" s="11"/>
      <c r="B8" s="11"/>
      <c r="C8" s="11"/>
      <c r="D8" s="11"/>
      <c r="E8" s="13"/>
      <c r="F8" s="10"/>
      <c r="G8" s="14"/>
      <c r="H8" s="14"/>
      <c r="I8" s="14"/>
      <c r="J8" s="14"/>
      <c r="K8" s="17" t="str">
        <f>IF(OR(B8="",E8="",G8=""),"",ROUND(E8*G8,Header!$B$7))</f>
        <v/>
      </c>
      <c r="L8" s="18"/>
      <c r="M8" s="9" t="str">
        <f t="shared" si="1"/>
        <v/>
      </c>
      <c r="N8" s="9" t="str">
        <f>IF(B8="","",6)</f>
        <v/>
      </c>
    </row>
    <row r="9" ht="42.0" customHeight="1">
      <c r="A9" s="11"/>
      <c r="B9" s="11"/>
      <c r="C9" s="11"/>
      <c r="D9" s="11"/>
      <c r="E9" s="13"/>
      <c r="F9" s="10"/>
      <c r="G9" s="14"/>
      <c r="H9" s="14"/>
      <c r="I9" s="14"/>
      <c r="J9" s="14"/>
      <c r="K9" s="17" t="str">
        <f>IF(OR(B9="",E9="",G9=""),"",ROUND(E9*G9,Header!$B$7))</f>
        <v/>
      </c>
      <c r="L9" s="18"/>
      <c r="M9" s="9" t="str">
        <f t="shared" si="1"/>
        <v/>
      </c>
      <c r="N9" s="9" t="str">
        <f>IF(B9="","",7)</f>
        <v/>
      </c>
    </row>
    <row r="10" ht="42.0" customHeight="1">
      <c r="A10" s="11"/>
      <c r="B10" s="11"/>
      <c r="C10" s="11"/>
      <c r="D10" s="11"/>
      <c r="E10" s="13"/>
      <c r="F10" s="10"/>
      <c r="G10" s="14"/>
      <c r="H10" s="14"/>
      <c r="I10" s="14"/>
      <c r="J10" s="14"/>
      <c r="K10" s="17" t="str">
        <f>IF(OR(B10="",E10="",G10=""),"",ROUND(E10*G10,Header!$B$7))</f>
        <v/>
      </c>
      <c r="L10" s="18"/>
      <c r="M10" s="9" t="str">
        <f t="shared" si="1"/>
        <v/>
      </c>
      <c r="N10" s="9" t="str">
        <f>IF(B10="","",8)</f>
        <v/>
      </c>
    </row>
    <row r="11" ht="42.0" customHeight="1">
      <c r="A11" s="11"/>
      <c r="B11" s="11"/>
      <c r="C11" s="11"/>
      <c r="D11" s="11"/>
      <c r="E11" s="13"/>
      <c r="F11" s="10"/>
      <c r="G11" s="14"/>
      <c r="H11" s="14"/>
      <c r="I11" s="14"/>
      <c r="J11" s="14"/>
      <c r="K11" s="17" t="str">
        <f>IF(OR(B11="",E11="",G11=""),"",ROUND(E11*G11,Header!$B$7))</f>
        <v/>
      </c>
      <c r="L11" s="18"/>
      <c r="M11" s="9" t="str">
        <f t="shared" si="1"/>
        <v/>
      </c>
      <c r="N11" s="9" t="str">
        <f>IF(B11="","",9)</f>
        <v/>
      </c>
    </row>
    <row r="12" ht="42.0" customHeight="1">
      <c r="A12" s="11"/>
      <c r="B12" s="11"/>
      <c r="C12" s="11"/>
      <c r="D12" s="11"/>
      <c r="E12" s="13"/>
      <c r="F12" s="10"/>
      <c r="G12" s="14"/>
      <c r="H12" s="14"/>
      <c r="I12" s="14"/>
      <c r="J12" s="14"/>
      <c r="K12" s="17" t="str">
        <f>IF(OR(B12="",E12="",G12=""),"",ROUND(E12*G12,Header!$B$7))</f>
        <v/>
      </c>
      <c r="L12" s="18"/>
      <c r="M12" s="9" t="str">
        <f t="shared" si="1"/>
        <v/>
      </c>
      <c r="N12" s="9" t="str">
        <f>IF(B12="","",10)</f>
        <v/>
      </c>
    </row>
    <row r="13" ht="42.0" customHeight="1">
      <c r="A13" s="11"/>
      <c r="B13" s="11"/>
      <c r="C13" s="11"/>
      <c r="D13" s="11"/>
      <c r="E13" s="13"/>
      <c r="F13" s="10"/>
      <c r="G13" s="14"/>
      <c r="H13" s="14"/>
      <c r="I13" s="14"/>
      <c r="J13" s="14"/>
      <c r="K13" s="17" t="str">
        <f>IF(OR(B13="",E13="",G13=""),"",ROUND(E13*G13,Header!$B$7))</f>
        <v/>
      </c>
      <c r="L13" s="18"/>
      <c r="M13" s="9" t="str">
        <f t="shared" si="1"/>
        <v/>
      </c>
      <c r="N13" s="9" t="str">
        <f>IF(B13="","",11)</f>
        <v/>
      </c>
    </row>
    <row r="14" ht="42.0" customHeight="1">
      <c r="A14" s="11"/>
      <c r="B14" s="11"/>
      <c r="C14" s="11"/>
      <c r="D14" s="11"/>
      <c r="E14" s="13"/>
      <c r="F14" s="10"/>
      <c r="G14" s="14"/>
      <c r="H14" s="14"/>
      <c r="I14" s="14"/>
      <c r="J14" s="14"/>
      <c r="K14" s="17" t="str">
        <f>IF(OR(B14="",E14="",G14=""),"",ROUND(E14*G14,Header!$B$7))</f>
        <v/>
      </c>
      <c r="L14" s="18"/>
      <c r="M14" s="9" t="str">
        <f t="shared" si="1"/>
        <v/>
      </c>
      <c r="N14" s="9" t="str">
        <f>IF(B14="","",12)</f>
        <v/>
      </c>
    </row>
    <row r="15" ht="42.0" customHeight="1">
      <c r="A15" s="11"/>
      <c r="B15" s="11"/>
      <c r="C15" s="11"/>
      <c r="D15" s="11"/>
      <c r="E15" s="13"/>
      <c r="F15" s="10"/>
      <c r="G15" s="14"/>
      <c r="H15" s="14"/>
      <c r="I15" s="14"/>
      <c r="J15" s="14"/>
      <c r="K15" s="17" t="str">
        <f>IF(OR(B15="",E15="",G15=""),"",ROUND(E15*G15,Header!$B$7))</f>
        <v/>
      </c>
      <c r="L15" s="18"/>
      <c r="M15" s="9" t="str">
        <f t="shared" si="1"/>
        <v/>
      </c>
      <c r="N15" s="9" t="str">
        <f>IF(B15="","",13)</f>
        <v/>
      </c>
    </row>
    <row r="16" ht="42.0" customHeight="1">
      <c r="A16" s="11"/>
      <c r="B16" s="11"/>
      <c r="C16" s="11"/>
      <c r="D16" s="11"/>
      <c r="E16" s="13"/>
      <c r="F16" s="10"/>
      <c r="G16" s="14"/>
      <c r="H16" s="14"/>
      <c r="I16" s="14"/>
      <c r="J16" s="14"/>
      <c r="K16" s="17" t="str">
        <f>IF(OR(B16="",E16="",G16=""),"",ROUND(E16*G16,Header!$B$7))</f>
        <v/>
      </c>
      <c r="L16" s="18"/>
      <c r="M16" s="9" t="str">
        <f t="shared" si="1"/>
        <v/>
      </c>
      <c r="N16" s="9" t="str">
        <f>IF(B16="","",14)</f>
        <v/>
      </c>
    </row>
    <row r="17" ht="42.0" customHeight="1">
      <c r="A17" s="11"/>
      <c r="B17" s="11"/>
      <c r="C17" s="11"/>
      <c r="D17" s="11"/>
      <c r="E17" s="13"/>
      <c r="F17" s="10"/>
      <c r="G17" s="14"/>
      <c r="H17" s="14"/>
      <c r="I17" s="14"/>
      <c r="J17" s="14"/>
      <c r="K17" s="17" t="str">
        <f>IF(OR(B17="",E17="",G17=""),"",ROUND(E17*G17,Header!$B$7))</f>
        <v/>
      </c>
      <c r="L17" s="18"/>
      <c r="M17" s="9" t="str">
        <f t="shared" si="1"/>
        <v/>
      </c>
      <c r="N17" s="9" t="str">
        <f>IF(B17="","",15)</f>
        <v/>
      </c>
    </row>
    <row r="18" ht="42.0" customHeight="1">
      <c r="A18" s="11"/>
      <c r="B18" s="11"/>
      <c r="C18" s="11"/>
      <c r="D18" s="11"/>
      <c r="E18" s="13"/>
      <c r="F18" s="10"/>
      <c r="G18" s="14"/>
      <c r="H18" s="14"/>
      <c r="I18" s="14"/>
      <c r="J18" s="14"/>
      <c r="K18" s="17" t="str">
        <f>IF(OR(B18="",E18="",G18=""),"",ROUND(E18*G18,Header!$B$7))</f>
        <v/>
      </c>
      <c r="L18" s="18"/>
      <c r="M18" s="9" t="str">
        <f t="shared" si="1"/>
        <v/>
      </c>
      <c r="N18" s="9" t="str">
        <f>IF(B18="","",16)</f>
        <v/>
      </c>
    </row>
    <row r="19" ht="42.0" customHeight="1">
      <c r="A19" s="11"/>
      <c r="B19" s="11"/>
      <c r="C19" s="11"/>
      <c r="D19" s="11"/>
      <c r="E19" s="13"/>
      <c r="F19" s="10"/>
      <c r="G19" s="14"/>
      <c r="H19" s="14"/>
      <c r="I19" s="14"/>
      <c r="J19" s="14"/>
      <c r="K19" s="17" t="str">
        <f>IF(OR(B19="",E19="",G19=""),"",ROUND(E19*G19,Header!$B$7))</f>
        <v/>
      </c>
      <c r="L19" s="18"/>
      <c r="M19" s="9" t="str">
        <f t="shared" si="1"/>
        <v/>
      </c>
      <c r="N19" s="9" t="str">
        <f>IF(B19="","",17)</f>
        <v/>
      </c>
    </row>
    <row r="20" ht="42.0" customHeight="1">
      <c r="A20" s="11"/>
      <c r="B20" s="11"/>
      <c r="C20" s="11"/>
      <c r="D20" s="11"/>
      <c r="E20" s="13"/>
      <c r="F20" s="10"/>
      <c r="G20" s="14"/>
      <c r="H20" s="14"/>
      <c r="I20" s="14"/>
      <c r="J20" s="14"/>
      <c r="K20" s="17" t="str">
        <f>IF(OR(B20="",E20="",G20=""),"",ROUND(E20*G20,Header!$B$7))</f>
        <v/>
      </c>
      <c r="L20" s="18"/>
      <c r="M20" s="9" t="str">
        <f t="shared" si="1"/>
        <v/>
      </c>
      <c r="N20" s="9" t="str">
        <f>IF(B20="","",18)</f>
        <v/>
      </c>
    </row>
    <row r="21" ht="42.0" customHeight="1">
      <c r="A21" s="11"/>
      <c r="B21" s="11"/>
      <c r="C21" s="11"/>
      <c r="D21" s="11"/>
      <c r="E21" s="13"/>
      <c r="F21" s="10"/>
      <c r="G21" s="14"/>
      <c r="H21" s="14"/>
      <c r="I21" s="14"/>
      <c r="J21" s="14"/>
      <c r="K21" s="17" t="str">
        <f>IF(OR(B21="",E21="",G21=""),"",ROUND(E21*G21,Header!$B$7))</f>
        <v/>
      </c>
      <c r="L21" s="18"/>
      <c r="M21" s="9" t="str">
        <f t="shared" si="1"/>
        <v/>
      </c>
      <c r="N21" s="9" t="str">
        <f>IF(B21="","",19)</f>
        <v/>
      </c>
    </row>
    <row r="22" ht="42.0" customHeight="1">
      <c r="A22" s="11"/>
      <c r="B22" s="11"/>
      <c r="C22" s="11"/>
      <c r="D22" s="11"/>
      <c r="E22" s="13"/>
      <c r="F22" s="10"/>
      <c r="G22" s="14"/>
      <c r="H22" s="14"/>
      <c r="I22" s="14"/>
      <c r="J22" s="14"/>
      <c r="K22" s="17" t="str">
        <f>IF(OR(B22="",E22="",G22=""),"",ROUND(E22*G22,Header!$B$7))</f>
        <v/>
      </c>
      <c r="L22" s="18"/>
      <c r="M22" s="9" t="str">
        <f t="shared" si="1"/>
        <v/>
      </c>
      <c r="N22" s="9" t="str">
        <f>IF(B22="","",20)</f>
        <v/>
      </c>
    </row>
    <row r="23" ht="42.0" customHeight="1">
      <c r="A23" s="11"/>
      <c r="B23" s="11"/>
      <c r="C23" s="11"/>
      <c r="D23" s="11"/>
      <c r="E23" s="13"/>
      <c r="F23" s="10"/>
      <c r="G23" s="14"/>
      <c r="H23" s="14"/>
      <c r="I23" s="14"/>
      <c r="J23" s="14"/>
      <c r="K23" s="17" t="str">
        <f>IF(OR(B23="",E23="",G23=""),"",ROUND(E23*G23,Header!$B$7))</f>
        <v/>
      </c>
      <c r="L23" s="18"/>
      <c r="M23" s="9" t="str">
        <f t="shared" si="1"/>
        <v/>
      </c>
      <c r="N23" s="9" t="str">
        <f>IF(B23="","",21)</f>
        <v/>
      </c>
    </row>
    <row r="24" ht="42.0" customHeight="1">
      <c r="A24" s="11"/>
      <c r="B24" s="11"/>
      <c r="C24" s="11"/>
      <c r="D24" s="11"/>
      <c r="E24" s="13"/>
      <c r="F24" s="10"/>
      <c r="G24" s="14"/>
      <c r="H24" s="14"/>
      <c r="I24" s="14"/>
      <c r="J24" s="14"/>
      <c r="K24" s="17" t="str">
        <f>IF(OR(B24="",E24="",G24=""),"",ROUND(E24*G24,Header!$B$7))</f>
        <v/>
      </c>
      <c r="L24" s="18"/>
      <c r="M24" s="9" t="str">
        <f t="shared" si="1"/>
        <v/>
      </c>
      <c r="N24" s="9" t="str">
        <f>IF(B24="","",22)</f>
        <v/>
      </c>
    </row>
    <row r="25" ht="42.0" customHeight="1">
      <c r="A25" s="11"/>
      <c r="B25" s="11"/>
      <c r="C25" s="11"/>
      <c r="D25" s="11"/>
      <c r="E25" s="13"/>
      <c r="F25" s="10"/>
      <c r="G25" s="14"/>
      <c r="H25" s="14"/>
      <c r="I25" s="14"/>
      <c r="J25" s="14"/>
      <c r="K25" s="17" t="str">
        <f>IF(OR(B25="",E25="",G25=""),"",ROUND(E25*G25,Header!$B$7))</f>
        <v/>
      </c>
      <c r="L25" s="18"/>
      <c r="M25" s="9" t="str">
        <f t="shared" si="1"/>
        <v/>
      </c>
      <c r="N25" s="9" t="str">
        <f>IF(B25="","",23)</f>
        <v/>
      </c>
    </row>
    <row r="26" ht="42.0" customHeight="1">
      <c r="A26" s="11"/>
      <c r="B26" s="11"/>
      <c r="C26" s="11"/>
      <c r="D26" s="11"/>
      <c r="E26" s="13"/>
      <c r="F26" s="10"/>
      <c r="G26" s="14"/>
      <c r="H26" s="14"/>
      <c r="I26" s="14"/>
      <c r="J26" s="14"/>
      <c r="K26" s="17" t="str">
        <f>IF(OR(B26="",E26="",G26=""),"",ROUND(E26*G26,Header!$B$7))</f>
        <v/>
      </c>
      <c r="L26" s="18"/>
      <c r="M26" s="9" t="str">
        <f t="shared" si="1"/>
        <v/>
      </c>
      <c r="N26" s="9" t="str">
        <f>IF(B26="","",24)</f>
        <v/>
      </c>
    </row>
    <row r="27" ht="42.0" customHeight="1">
      <c r="A27" s="11"/>
      <c r="B27" s="11"/>
      <c r="C27" s="11"/>
      <c r="D27" s="11"/>
      <c r="E27" s="13"/>
      <c r="F27" s="10"/>
      <c r="G27" s="14"/>
      <c r="H27" s="14"/>
      <c r="I27" s="14"/>
      <c r="J27" s="14"/>
      <c r="K27" s="17" t="str">
        <f>IF(OR(B27="",E27="",G27=""),"",ROUND(E27*G27,Header!$B$7))</f>
        <v/>
      </c>
      <c r="L27" s="18"/>
      <c r="M27" s="9" t="str">
        <f t="shared" si="1"/>
        <v/>
      </c>
      <c r="N27" s="9" t="str">
        <f>IF(B27="","",25)</f>
        <v/>
      </c>
    </row>
    <row r="28" ht="42.0" customHeight="1">
      <c r="A28" s="11"/>
      <c r="B28" s="11"/>
      <c r="C28" s="11"/>
      <c r="D28" s="11"/>
      <c r="E28" s="13"/>
      <c r="F28" s="10"/>
      <c r="G28" s="14"/>
      <c r="H28" s="14"/>
      <c r="I28" s="14"/>
      <c r="J28" s="14"/>
      <c r="K28" s="17" t="str">
        <f>IF(OR(B28="",E28="",G28=""),"",ROUND(E28*G28,Header!$B$7))</f>
        <v/>
      </c>
      <c r="L28" s="18"/>
      <c r="M28" s="9" t="str">
        <f t="shared" si="1"/>
        <v/>
      </c>
      <c r="N28" s="9" t="str">
        <f>IF(B28="","",26)</f>
        <v/>
      </c>
    </row>
    <row r="29" ht="42.0" customHeight="1">
      <c r="A29" s="11"/>
      <c r="B29" s="11"/>
      <c r="C29" s="11"/>
      <c r="D29" s="11"/>
      <c r="E29" s="13"/>
      <c r="F29" s="10"/>
      <c r="G29" s="14"/>
      <c r="H29" s="14"/>
      <c r="I29" s="14"/>
      <c r="J29" s="14"/>
      <c r="K29" s="17" t="str">
        <f>IF(OR(B29="",E29="",G29=""),"",ROUND(E29*G29,Header!$B$7))</f>
        <v/>
      </c>
      <c r="L29" s="18"/>
      <c r="M29" s="9" t="str">
        <f t="shared" si="1"/>
        <v/>
      </c>
      <c r="N29" s="9" t="str">
        <f>IF(B29="","",27)</f>
        <v/>
      </c>
    </row>
    <row r="30" ht="42.0" customHeight="1">
      <c r="A30" s="11"/>
      <c r="B30" s="11"/>
      <c r="C30" s="11"/>
      <c r="D30" s="11"/>
      <c r="E30" s="13"/>
      <c r="F30" s="10"/>
      <c r="G30" s="14"/>
      <c r="H30" s="14"/>
      <c r="I30" s="14"/>
      <c r="J30" s="14"/>
      <c r="K30" s="17" t="str">
        <f>IF(OR(B30="",E30="",G30=""),"",ROUND(E30*G30,Header!$B$7))</f>
        <v/>
      </c>
      <c r="L30" s="18"/>
      <c r="M30" s="9" t="str">
        <f t="shared" si="1"/>
        <v/>
      </c>
      <c r="N30" s="9" t="str">
        <f>IF(B30="","",28)</f>
        <v/>
      </c>
    </row>
    <row r="31" ht="42.0" customHeight="1">
      <c r="A31" s="11"/>
      <c r="B31" s="11"/>
      <c r="C31" s="11"/>
      <c r="D31" s="11"/>
      <c r="E31" s="13"/>
      <c r="F31" s="10"/>
      <c r="G31" s="14"/>
      <c r="H31" s="14"/>
      <c r="I31" s="14"/>
      <c r="J31" s="14"/>
      <c r="K31" s="17" t="str">
        <f>IF(OR(B31="",E31="",G31=""),"",ROUND(E31*G31,Header!$B$7))</f>
        <v/>
      </c>
      <c r="L31" s="18"/>
      <c r="M31" s="9" t="str">
        <f t="shared" si="1"/>
        <v/>
      </c>
      <c r="N31" s="9" t="str">
        <f>IF(B31="","",29)</f>
        <v/>
      </c>
    </row>
    <row r="32" ht="42.0" customHeight="1">
      <c r="A32" s="11"/>
      <c r="B32" s="11"/>
      <c r="C32" s="11"/>
      <c r="D32" s="11"/>
      <c r="E32" s="13"/>
      <c r="F32" s="10"/>
      <c r="G32" s="14"/>
      <c r="H32" s="14"/>
      <c r="I32" s="14"/>
      <c r="J32" s="14"/>
      <c r="K32" s="17" t="str">
        <f>IF(OR(B32="",E32="",G32=""),"",ROUND(E32*G32,Header!$B$7))</f>
        <v/>
      </c>
      <c r="L32" s="18"/>
      <c r="M32" s="9" t="str">
        <f t="shared" si="1"/>
        <v/>
      </c>
      <c r="N32" s="9" t="str">
        <f>IF(B32="","",30)</f>
        <v/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dataValidations>
    <dataValidation type="decimal" operator="greaterThan" allowBlank="1" sqref="E3:E32">
      <formula1>0.0</formula1>
    </dataValidation>
    <dataValidation type="decimal" operator="greaterThanOrEqual" allowBlank="1" sqref="G3:G32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35.0"/>
    <col customWidth="1" min="3" max="3" width="11.0"/>
    <col customWidth="1" min="4" max="4" width="10.0"/>
    <col customWidth="1" min="5" max="6" width="8.0"/>
    <col customWidth="1" min="7" max="7" width="12.0"/>
    <col customWidth="1" min="8" max="8" width="14.0"/>
    <col customWidth="1" min="9" max="26" width="8.63"/>
  </cols>
  <sheetData>
    <row r="1" ht="42.0" customHeight="1">
      <c r="A1" s="15" t="str">
        <f>IF(1&lt;=Header!B49,IF(Header!B3="PROFORMA","PROFORMA INVOICE","COMMERCIAL INVOICE"),"UNUSED PAGE — DO NOT PRINT")</f>
        <v>PROFORMA INVOICE</v>
      </c>
    </row>
    <row r="2" ht="18.75" customHeight="1">
      <c r="A2" s="19" t="str">
        <f>IF(Header!B45="DRAFT","DRAFT / NOT FOR SHIPMENT",IF(Header!B53&lt;&gt;"BASIC CHECK OK","CHECK INPUTS BEFORE ISSUE",""))</f>
        <v>DRAFT / NOT FOR SHIPMENT</v>
      </c>
    </row>
    <row r="3" ht="22.5" customHeight="1">
      <c r="A3" s="4" t="str">
        <f>"Invoice No.  "&amp;IF(Header!B4="","",Header!B4)&amp;"    |    Date  "&amp;IF(Header!B5="","",Header!B5)</f>
        <v>Invoice No.      |    Date  </v>
      </c>
      <c r="E3" s="4" t="str">
        <f>"Currency  "&amp;IF(Header!B6="","",Header!B6)&amp;"     |     Page 1 / "&amp;Header!B49</f>
        <v>Currency  USD     |     Page 1 / 1</v>
      </c>
    </row>
    <row r="4" ht="22.5" customHeight="1">
      <c r="A4" s="6" t="s">
        <v>127</v>
      </c>
      <c r="E4" s="6" t="s">
        <v>129</v>
      </c>
    </row>
    <row r="5" ht="27.0" customHeight="1">
      <c r="A5" s="21" t="str">
        <f>IF(Header!B18="","",IF(Header!B18="","",Header!B18)&amp;CHAR(10)&amp;IF(Header!B19="","",Header!B19)&amp;CHAR(10)&amp;IF(Header!B20="","",Header!B20)&amp;IF(Header!B21="","",CHAR(10)&amp;"Tax / Reg. ID: "&amp;Header!B21))</f>
        <v/>
      </c>
      <c r="E5" s="21" t="str">
        <f>IF(Header!B22="","",IF(Header!B22="","",Header!B22)&amp;CHAR(10)&amp;IF(Header!B23="","",Header!B23)&amp;CHAR(10)&amp;IF(Header!B24="","",Header!B24)&amp;IF(Header!B25="","",CHAR(10)&amp;"Tax / Reg. ID: "&amp;Header!B25))</f>
        <v/>
      </c>
    </row>
    <row r="6" ht="27.0" customHeight="1"/>
    <row r="7" ht="27.0" customHeight="1"/>
    <row r="8" ht="22.5" customHeight="1">
      <c r="A8" s="6" t="s">
        <v>155</v>
      </c>
      <c r="E8" s="6" t="s">
        <v>156</v>
      </c>
    </row>
    <row r="9" ht="25.5" customHeight="1">
      <c r="A9" s="9" t="str">
        <f>IF(Header!B26="","Same as buyer",IF(Header!B26="","",Header!B26)&amp;CHAR(10)&amp;IF(Header!B27="","",Header!B27)&amp;CHAR(10)&amp;IF(Header!B28="","",Header!B28))</f>
        <v>Same as buyer</v>
      </c>
      <c r="E9" s="9" t="str">
        <f>IF(Header!B29="","Same as buyer",IF(Header!B29="","",Header!B29)&amp;CHAR(10)&amp;IF(Header!B30="","",Header!B30)&amp;IF(Header!B31="","",CHAR(10)&amp;"Tax / Reg. ID: "&amp;Header!B31))</f>
        <v>Same as buyer</v>
      </c>
    </row>
    <row r="10" ht="25.5" customHeight="1"/>
    <row r="11" ht="22.5" customHeight="1">
      <c r="A11" s="9" t="str">
        <f>"Terms: "&amp;IF(Header!B9="","",Header!B9)&amp;"   |   Payment: "&amp;IF(Header!B8="","",Header!B8)</f>
        <v>Terms:    |   Payment: </v>
      </c>
    </row>
    <row r="12" ht="22.5" customHeight="1">
      <c r="A12" s="9" t="str">
        <f>"Purpose: "&amp;IF(Header!B10="","",Header!B10)&amp;"   |   PO: "&amp;IF(Header!B11="","",Header!B11)&amp;IF(Header!B3="PROFORMA","   |   Valid until: "&amp;IF(Header!B12="","",Header!B12),"")</f>
        <v>Purpose:    |   PO:    |   Valid until: </v>
      </c>
    </row>
    <row r="13" ht="22.5" customHeight="1">
      <c r="A13" s="9" t="str">
        <f>"From: "&amp;IF(Header!B16="","",Header!B16)&amp;"  →  "&amp;IF(Header!B17="","",Header!B17)&amp;"   |   Ship date: "&amp;IF(Header!B13="","",Header!B13)&amp;"   |   "&amp;IF(Header!B14="","",Header!B14)</f>
        <v>From: Japan  →     |   Ship date:    |   </v>
      </c>
    </row>
    <row r="14" ht="22.5" customHeight="1">
      <c r="A14" s="9" t="str">
        <f>"Carrier / AWB: "&amp;IF(Header!B15="","",Header!B15)</f>
        <v>Carrier / AWB: </v>
      </c>
    </row>
    <row r="15" ht="24.75" customHeight="1">
      <c r="A15" s="23" t="s">
        <v>165</v>
      </c>
      <c r="B15" s="23" t="s">
        <v>167</v>
      </c>
      <c r="C15" s="23" t="s">
        <v>168</v>
      </c>
      <c r="D15" s="23" t="s">
        <v>169</v>
      </c>
      <c r="E15" s="23" t="s">
        <v>170</v>
      </c>
      <c r="F15" s="23" t="s">
        <v>171</v>
      </c>
      <c r="G15" s="23" t="s">
        <v>172</v>
      </c>
      <c r="H15" s="23" t="s">
        <v>173</v>
      </c>
    </row>
    <row r="16" ht="37.5" customHeight="1">
      <c r="A16" s="24" t="str">
        <f>IF(Items!B3="","",1)</f>
        <v/>
      </c>
      <c r="B16" s="24" t="str">
        <f>IF(Items!B3="","",Items!B3&amp;IF(Items!A3="","",CHAR(10)&amp;"SKU: "&amp;Items!A3))</f>
        <v/>
      </c>
      <c r="C16" s="24" t="str">
        <f>IF(Items!B3="","",IF(Items!C3="","",Items!C3))</f>
        <v/>
      </c>
      <c r="D16" s="24" t="str">
        <f>IF(Items!B3="","",IF(Items!D3="","",Items!D3))</f>
        <v/>
      </c>
      <c r="E16" s="25" t="str">
        <f>IF(Items!B3="","",IF(Items!E3="","",Items!E3))</f>
        <v/>
      </c>
      <c r="F16" s="24" t="str">
        <f>IF(Items!B3="","",IF(Items!F3="","",Items!F3))</f>
        <v/>
      </c>
      <c r="G16" s="26" t="str">
        <f>IF(Items!B3="","",IF(Items!G3="","",Items!G3))</f>
        <v/>
      </c>
      <c r="H16" s="27" t="str">
        <f>IF(Items!B3="","",IF(Items!K3="","",Items!K3))</f>
        <v/>
      </c>
    </row>
    <row r="17" ht="37.5" customHeight="1">
      <c r="A17" s="28" t="str">
        <f>IF(Items!B4="","",2)</f>
        <v/>
      </c>
      <c r="B17" s="28" t="str">
        <f>IF(Items!B4="","",Items!B4&amp;IF(Items!A4="","",CHAR(10)&amp;"SKU: "&amp;Items!A4))</f>
        <v/>
      </c>
      <c r="C17" s="28" t="str">
        <f>IF(Items!B4="","",IF(Items!C4="","",Items!C4))</f>
        <v/>
      </c>
      <c r="D17" s="28" t="str">
        <f>IF(Items!B4="","",IF(Items!D4="","",Items!D4))</f>
        <v/>
      </c>
      <c r="E17" s="29" t="str">
        <f>IF(Items!B4="","",IF(Items!E4="","",Items!E4))</f>
        <v/>
      </c>
      <c r="F17" s="28" t="str">
        <f>IF(Items!B4="","",IF(Items!F4="","",Items!F4))</f>
        <v/>
      </c>
      <c r="G17" s="30" t="str">
        <f>IF(Items!B4="","",IF(Items!G4="","",Items!G4))</f>
        <v/>
      </c>
      <c r="H17" s="31" t="str">
        <f>IF(Items!B4="","",IF(Items!K4="","",Items!K4))</f>
        <v/>
      </c>
    </row>
    <row r="18" ht="37.5" customHeight="1">
      <c r="A18" s="24" t="str">
        <f>IF(Items!B5="","",3)</f>
        <v/>
      </c>
      <c r="B18" s="24" t="str">
        <f>IF(Items!B5="","",Items!B5&amp;IF(Items!A5="","",CHAR(10)&amp;"SKU: "&amp;Items!A5))</f>
        <v/>
      </c>
      <c r="C18" s="24" t="str">
        <f>IF(Items!B5="","",IF(Items!C5="","",Items!C5))</f>
        <v/>
      </c>
      <c r="D18" s="24" t="str">
        <f>IF(Items!B5="","",IF(Items!D5="","",Items!D5))</f>
        <v/>
      </c>
      <c r="E18" s="25" t="str">
        <f>IF(Items!B5="","",IF(Items!E5="","",Items!E5))</f>
        <v/>
      </c>
      <c r="F18" s="24" t="str">
        <f>IF(Items!B5="","",IF(Items!F5="","",Items!F5))</f>
        <v/>
      </c>
      <c r="G18" s="26" t="str">
        <f>IF(Items!B5="","",IF(Items!G5="","",Items!G5))</f>
        <v/>
      </c>
      <c r="H18" s="27" t="str">
        <f>IF(Items!B5="","",IF(Items!K5="","",Items!K5))</f>
        <v/>
      </c>
    </row>
    <row r="19" ht="37.5" customHeight="1">
      <c r="A19" s="28" t="str">
        <f>IF(Items!B6="","",4)</f>
        <v/>
      </c>
      <c r="B19" s="28" t="str">
        <f>IF(Items!B6="","",Items!B6&amp;IF(Items!A6="","",CHAR(10)&amp;"SKU: "&amp;Items!A6))</f>
        <v/>
      </c>
      <c r="C19" s="28" t="str">
        <f>IF(Items!B6="","",IF(Items!C6="","",Items!C6))</f>
        <v/>
      </c>
      <c r="D19" s="28" t="str">
        <f>IF(Items!B6="","",IF(Items!D6="","",Items!D6))</f>
        <v/>
      </c>
      <c r="E19" s="29" t="str">
        <f>IF(Items!B6="","",IF(Items!E6="","",Items!E6))</f>
        <v/>
      </c>
      <c r="F19" s="28" t="str">
        <f>IF(Items!B6="","",IF(Items!F6="","",Items!F6))</f>
        <v/>
      </c>
      <c r="G19" s="30" t="str">
        <f>IF(Items!B6="","",IF(Items!G6="","",Items!G6))</f>
        <v/>
      </c>
      <c r="H19" s="31" t="str">
        <f>IF(Items!B6="","",IF(Items!K6="","",Items!K6))</f>
        <v/>
      </c>
    </row>
    <row r="20" ht="37.5" customHeight="1">
      <c r="A20" s="24" t="str">
        <f>IF(Items!B7="","",5)</f>
        <v/>
      </c>
      <c r="B20" s="24" t="str">
        <f>IF(Items!B7="","",Items!B7&amp;IF(Items!A7="","",CHAR(10)&amp;"SKU: "&amp;Items!A7))</f>
        <v/>
      </c>
      <c r="C20" s="24" t="str">
        <f>IF(Items!B7="","",IF(Items!C7="","",Items!C7))</f>
        <v/>
      </c>
      <c r="D20" s="24" t="str">
        <f>IF(Items!B7="","",IF(Items!D7="","",Items!D7))</f>
        <v/>
      </c>
      <c r="E20" s="25" t="str">
        <f>IF(Items!B7="","",IF(Items!E7="","",Items!E7))</f>
        <v/>
      </c>
      <c r="F20" s="24" t="str">
        <f>IF(Items!B7="","",IF(Items!F7="","",Items!F7))</f>
        <v/>
      </c>
      <c r="G20" s="26" t="str">
        <f>IF(Items!B7="","",IF(Items!G7="","",Items!G7))</f>
        <v/>
      </c>
      <c r="H20" s="27" t="str">
        <f>IF(Items!B7="","",IF(Items!K7="","",Items!K7))</f>
        <v/>
      </c>
    </row>
    <row r="21" ht="37.5" customHeight="1">
      <c r="A21" s="28" t="str">
        <f>IF(Items!B8="","",6)</f>
        <v/>
      </c>
      <c r="B21" s="28" t="str">
        <f>IF(Items!B8="","",Items!B8&amp;IF(Items!A8="","",CHAR(10)&amp;"SKU: "&amp;Items!A8))</f>
        <v/>
      </c>
      <c r="C21" s="28" t="str">
        <f>IF(Items!B8="","",IF(Items!C8="","",Items!C8))</f>
        <v/>
      </c>
      <c r="D21" s="28" t="str">
        <f>IF(Items!B8="","",IF(Items!D8="","",Items!D8))</f>
        <v/>
      </c>
      <c r="E21" s="29" t="str">
        <f>IF(Items!B8="","",IF(Items!E8="","",Items!E8))</f>
        <v/>
      </c>
      <c r="F21" s="28" t="str">
        <f>IF(Items!B8="","",IF(Items!F8="","",Items!F8))</f>
        <v/>
      </c>
      <c r="G21" s="30" t="str">
        <f>IF(Items!B8="","",IF(Items!G8="","",Items!G8))</f>
        <v/>
      </c>
      <c r="H21" s="31" t="str">
        <f>IF(Items!B8="","",IF(Items!K8="","",Items!K8))</f>
        <v/>
      </c>
    </row>
    <row r="22" ht="37.5" customHeight="1">
      <c r="A22" s="24" t="str">
        <f>IF(Items!B9="","",7)</f>
        <v/>
      </c>
      <c r="B22" s="24" t="str">
        <f>IF(Items!B9="","",Items!B9&amp;IF(Items!A9="","",CHAR(10)&amp;"SKU: "&amp;Items!A9))</f>
        <v/>
      </c>
      <c r="C22" s="24" t="str">
        <f>IF(Items!B9="","",IF(Items!C9="","",Items!C9))</f>
        <v/>
      </c>
      <c r="D22" s="24" t="str">
        <f>IF(Items!B9="","",IF(Items!D9="","",Items!D9))</f>
        <v/>
      </c>
      <c r="E22" s="25" t="str">
        <f>IF(Items!B9="","",IF(Items!E9="","",Items!E9))</f>
        <v/>
      </c>
      <c r="F22" s="24" t="str">
        <f>IF(Items!B9="","",IF(Items!F9="","",Items!F9))</f>
        <v/>
      </c>
      <c r="G22" s="26" t="str">
        <f>IF(Items!B9="","",IF(Items!G9="","",Items!G9))</f>
        <v/>
      </c>
      <c r="H22" s="27" t="str">
        <f>IF(Items!B9="","",IF(Items!K9="","",Items!K9))</f>
        <v/>
      </c>
    </row>
    <row r="23" ht="37.5" customHeight="1">
      <c r="A23" s="28" t="str">
        <f>IF(Items!B10="","",8)</f>
        <v/>
      </c>
      <c r="B23" s="28" t="str">
        <f>IF(Items!B10="","",Items!B10&amp;IF(Items!A10="","",CHAR(10)&amp;"SKU: "&amp;Items!A10))</f>
        <v/>
      </c>
      <c r="C23" s="28" t="str">
        <f>IF(Items!B10="","",IF(Items!C10="","",Items!C10))</f>
        <v/>
      </c>
      <c r="D23" s="28" t="str">
        <f>IF(Items!B10="","",IF(Items!D10="","",Items!D10))</f>
        <v/>
      </c>
      <c r="E23" s="29" t="str">
        <f>IF(Items!B10="","",IF(Items!E10="","",Items!E10))</f>
        <v/>
      </c>
      <c r="F23" s="28" t="str">
        <f>IF(Items!B10="","",IF(Items!F10="","",Items!F10))</f>
        <v/>
      </c>
      <c r="G23" s="30" t="str">
        <f>IF(Items!B10="","",IF(Items!G10="","",Items!G10))</f>
        <v/>
      </c>
      <c r="H23" s="31" t="str">
        <f>IF(Items!B10="","",IF(Items!K10="","",Items!K10))</f>
        <v/>
      </c>
    </row>
    <row r="24" ht="37.5" customHeight="1">
      <c r="A24" s="24" t="str">
        <f>IF(Items!B11="","",9)</f>
        <v/>
      </c>
      <c r="B24" s="24" t="str">
        <f>IF(Items!B11="","",Items!B11&amp;IF(Items!A11="","",CHAR(10)&amp;"SKU: "&amp;Items!A11))</f>
        <v/>
      </c>
      <c r="C24" s="24" t="str">
        <f>IF(Items!B11="","",IF(Items!C11="","",Items!C11))</f>
        <v/>
      </c>
      <c r="D24" s="24" t="str">
        <f>IF(Items!B11="","",IF(Items!D11="","",Items!D11))</f>
        <v/>
      </c>
      <c r="E24" s="25" t="str">
        <f>IF(Items!B11="","",IF(Items!E11="","",Items!E11))</f>
        <v/>
      </c>
      <c r="F24" s="24" t="str">
        <f>IF(Items!B11="","",IF(Items!F11="","",Items!F11))</f>
        <v/>
      </c>
      <c r="G24" s="26" t="str">
        <f>IF(Items!B11="","",IF(Items!G11="","",Items!G11))</f>
        <v/>
      </c>
      <c r="H24" s="27" t="str">
        <f>IF(Items!B11="","",IF(Items!K11="","",Items!K11))</f>
        <v/>
      </c>
    </row>
    <row r="25" ht="37.5" customHeight="1">
      <c r="A25" s="28" t="str">
        <f>IF(Items!B12="","",10)</f>
        <v/>
      </c>
      <c r="B25" s="28" t="str">
        <f>IF(Items!B12="","",Items!B12&amp;IF(Items!A12="","",CHAR(10)&amp;"SKU: "&amp;Items!A12))</f>
        <v/>
      </c>
      <c r="C25" s="28" t="str">
        <f>IF(Items!B12="","",IF(Items!C12="","",Items!C12))</f>
        <v/>
      </c>
      <c r="D25" s="28" t="str">
        <f>IF(Items!B12="","",IF(Items!D12="","",Items!D12))</f>
        <v/>
      </c>
      <c r="E25" s="29" t="str">
        <f>IF(Items!B12="","",IF(Items!E12="","",Items!E12))</f>
        <v/>
      </c>
      <c r="F25" s="28" t="str">
        <f>IF(Items!B12="","",IF(Items!F12="","",Items!F12))</f>
        <v/>
      </c>
      <c r="G25" s="30" t="str">
        <f>IF(Items!B12="","",IF(Items!G12="","",Items!G12))</f>
        <v/>
      </c>
      <c r="H25" s="31" t="str">
        <f>IF(Items!B12="","",IF(Items!K12="","",Items!K12))</f>
        <v/>
      </c>
    </row>
    <row r="26" ht="22.5" customHeight="1">
      <c r="A26" s="9" t="str">
        <f>IF(1=Header!B49,"Packages: "&amp;IF(Header!B32="","",Header!B32)&amp;" "&amp;IF(Header!B33="","",Header!B33)&amp;CHAR(10)&amp;"Net / Gross weight: "&amp;IF(Header!B34="","",Header!B34)&amp;" / "&amp;IF(Header!B35="","",Header!B35)&amp;" "&amp;IF(Header!B36="","",Header!B36),IF(1&lt;=Header!B49,"Continued on next page", ""))</f>
        <v>Packages:  
Net / Gross weight:  /  kg</v>
      </c>
      <c r="F26" s="4" t="str">
        <f>IF(1=Header!B49,"Subtotal","")</f>
        <v>Subtotal</v>
      </c>
      <c r="H26" s="22">
        <f>IF(1=Header!B49,Header!B50,"")</f>
        <v>0</v>
      </c>
    </row>
    <row r="27" ht="22.5" customHeight="1">
      <c r="F27" s="4" t="str">
        <f>IF(1=Header!B49,"Freight","")</f>
        <v>Freight</v>
      </c>
      <c r="H27" s="22">
        <f>IF(1=Header!B49,Header!B37,"")</f>
        <v>0</v>
      </c>
    </row>
    <row r="28" ht="22.5" customHeight="1">
      <c r="A28" s="21" t="str">
        <f>IF(1=Header!B49,IF(Header!B40="","",Header!B40),"")</f>
        <v/>
      </c>
      <c r="F28" s="4" t="str">
        <f>IF(1=Header!B49,"Insurance","")</f>
        <v>Insurance</v>
      </c>
      <c r="H28" s="22">
        <f>IF(1=Header!B49,Header!B38,"")</f>
        <v>0</v>
      </c>
    </row>
    <row r="29" ht="22.5" customHeight="1">
      <c r="F29" s="4" t="str">
        <f>IF(1=Header!B49,"Other charges","")</f>
        <v>Other charges</v>
      </c>
      <c r="H29" s="22">
        <f>IF(1=Header!B49,Header!B39,"")</f>
        <v>0</v>
      </c>
    </row>
    <row r="30" ht="22.5" customHeight="1">
      <c r="F30" s="5" t="str">
        <f>IF(1=Header!B49,"TOTAL","")</f>
        <v>TOTAL</v>
      </c>
      <c r="H30" s="32">
        <f>IF(1=Header!B49,Header!B51,"")</f>
        <v>0</v>
      </c>
    </row>
    <row r="31" ht="22.5" customHeight="1">
      <c r="A31" s="33" t="str">
        <f>IF(1=Header!B49,IF(Header!B3="COMMERCIAL",IF(Header!B43="","",Header!B43),IF(Header!B44="","",Header!B44)),"")</f>
        <v>Proforma invoice for quotation purposes.</v>
      </c>
    </row>
    <row r="32" ht="22.5" customHeight="1"/>
    <row r="33" ht="22.5" customHeight="1">
      <c r="A33" s="4" t="str">
        <f>IF(1=Header!B49,"Authorized signatory","")</f>
        <v>Authorized signatory</v>
      </c>
      <c r="E33" s="4" t="str">
        <f>IF(1=Header!B49,"Signature / Date","")</f>
        <v>Signature / Date</v>
      </c>
    </row>
    <row r="34" ht="22.5" customHeight="1">
      <c r="A34" s="9" t="str">
        <f>IF(AND(1=Header!B49,Header!B41&lt;&gt;""),IF(Header!B41="","",Header!B41)&amp;CHAR(10)&amp;IF(Header!B42="","",Header!B42),"")</f>
        <v/>
      </c>
      <c r="E34" s="4"/>
    </row>
    <row r="35" ht="22.5" customHeight="1">
      <c r="E35" s="34"/>
      <c r="F35" s="34"/>
      <c r="G35" s="34"/>
      <c r="H35" s="34"/>
    </row>
    <row r="36" ht="22.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35" t="str">
        <f>IF(1&lt;=Header!B49,IF(Header!B4="","",Header!B4)&amp;"    •    1 / "&amp;Header!B49,"")</f>
        <v>    •    1 / 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E8:H8"/>
    <mergeCell ref="E9:H10"/>
    <mergeCell ref="A11:H11"/>
    <mergeCell ref="A12:H12"/>
    <mergeCell ref="A13:H13"/>
    <mergeCell ref="A14:H14"/>
    <mergeCell ref="A1:H1"/>
    <mergeCell ref="A2:H2"/>
    <mergeCell ref="A3:D3"/>
    <mergeCell ref="E3:H3"/>
    <mergeCell ref="A4:D4"/>
    <mergeCell ref="E4:H4"/>
    <mergeCell ref="E5:H7"/>
    <mergeCell ref="F28:G28"/>
    <mergeCell ref="F29:G29"/>
    <mergeCell ref="A31:H32"/>
    <mergeCell ref="A33:D33"/>
    <mergeCell ref="E33:H33"/>
    <mergeCell ref="A34:D35"/>
    <mergeCell ref="E34:H35"/>
    <mergeCell ref="A37:H37"/>
    <mergeCell ref="A5:D7"/>
    <mergeCell ref="A8:D8"/>
    <mergeCell ref="A9:D10"/>
    <mergeCell ref="A26:E27"/>
    <mergeCell ref="F26:G26"/>
    <mergeCell ref="F27:G27"/>
    <mergeCell ref="A28:E30"/>
    <mergeCell ref="F30:G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35.0"/>
    <col customWidth="1" min="3" max="3" width="11.0"/>
    <col customWidth="1" min="4" max="4" width="10.0"/>
    <col customWidth="1" min="5" max="6" width="8.0"/>
    <col customWidth="1" min="7" max="7" width="12.0"/>
    <col customWidth="1" min="8" max="8" width="14.0"/>
    <col customWidth="1" min="9" max="26" width="8.63"/>
  </cols>
  <sheetData>
    <row r="1" ht="42.0" customHeight="1">
      <c r="A1" s="15" t="str">
        <f>IF(2&lt;=Header!B49,IF(Header!B3="PROFORMA","PROFORMA INVOICE","COMMERCIAL INVOICE"),"UNUSED PAGE — DO NOT PRINT")</f>
        <v>UNUSED PAGE — DO NOT PRINT</v>
      </c>
    </row>
    <row r="2" ht="18.75" customHeight="1">
      <c r="A2" s="19" t="str">
        <f>IF(Header!B45="DRAFT","DRAFT / NOT FOR SHIPMENT",IF(Header!B53&lt;&gt;"BASIC CHECK OK","CHECK INPUTS BEFORE ISSUE",""))</f>
        <v>DRAFT / NOT FOR SHIPMENT</v>
      </c>
    </row>
    <row r="3" ht="22.5" customHeight="1">
      <c r="A3" s="4" t="str">
        <f>"Invoice No.  "&amp;IF(Header!B4="","",Header!B4)&amp;"    |    Date  "&amp;IF(Header!B5="","",Header!B5)</f>
        <v>Invoice No.      |    Date  </v>
      </c>
      <c r="E3" s="4" t="str">
        <f>"Currency  "&amp;IF(Header!B6="","",Header!B6)&amp;"     |     Page 2 / "&amp;Header!B49</f>
        <v>Currency  USD     |     Page 2 / 1</v>
      </c>
    </row>
    <row r="4" ht="22.5" customHeight="1">
      <c r="A4" s="6" t="s">
        <v>127</v>
      </c>
      <c r="E4" s="6" t="s">
        <v>129</v>
      </c>
    </row>
    <row r="5" ht="27.0" customHeight="1">
      <c r="A5" s="21" t="str">
        <f>IF(Header!B18="","",IF(Header!B18="","",Header!B18)&amp;CHAR(10)&amp;IF(Header!B19="","",Header!B19)&amp;CHAR(10)&amp;IF(Header!B20="","",Header!B20)&amp;IF(Header!B21="","",CHAR(10)&amp;"Tax / Reg. ID: "&amp;Header!B21))</f>
        <v/>
      </c>
      <c r="E5" s="21" t="str">
        <f>IF(Header!B22="","",IF(Header!B22="","",Header!B22)&amp;CHAR(10)&amp;IF(Header!B23="","",Header!B23)&amp;CHAR(10)&amp;IF(Header!B24="","",Header!B24)&amp;IF(Header!B25="","",CHAR(10)&amp;"Tax / Reg. ID: "&amp;Header!B25))</f>
        <v/>
      </c>
    </row>
    <row r="6" ht="27.0" customHeight="1"/>
    <row r="7" ht="27.0" customHeight="1"/>
    <row r="8" ht="22.5" customHeight="1">
      <c r="A8" s="6" t="s">
        <v>155</v>
      </c>
      <c r="E8" s="6" t="s">
        <v>156</v>
      </c>
    </row>
    <row r="9" ht="25.5" customHeight="1">
      <c r="A9" s="9" t="str">
        <f>IF(Header!B26="","Same as buyer",IF(Header!B26="","",Header!B26)&amp;CHAR(10)&amp;IF(Header!B27="","",Header!B27)&amp;CHAR(10)&amp;IF(Header!B28="","",Header!B28))</f>
        <v>Same as buyer</v>
      </c>
      <c r="E9" s="9" t="str">
        <f>IF(Header!B29="","Same as buyer",IF(Header!B29="","",Header!B29)&amp;CHAR(10)&amp;IF(Header!B30="","",Header!B30)&amp;IF(Header!B31="","",CHAR(10)&amp;"Tax / Reg. ID: "&amp;Header!B31))</f>
        <v>Same as buyer</v>
      </c>
    </row>
    <row r="10" ht="25.5" customHeight="1"/>
    <row r="11" ht="22.5" customHeight="1">
      <c r="A11" s="9" t="str">
        <f>"Terms: "&amp;IF(Header!B9="","",Header!B9)&amp;"   |   Payment: "&amp;IF(Header!B8="","",Header!B8)</f>
        <v>Terms:    |   Payment: </v>
      </c>
    </row>
    <row r="12" ht="22.5" customHeight="1">
      <c r="A12" s="9" t="str">
        <f>"Purpose: "&amp;IF(Header!B10="","",Header!B10)&amp;"   |   PO: "&amp;IF(Header!B11="","",Header!B11)&amp;IF(Header!B3="PROFORMA","   |   Valid until: "&amp;IF(Header!B12="","",Header!B12),"")</f>
        <v>Purpose:    |   PO:    |   Valid until: </v>
      </c>
    </row>
    <row r="13" ht="22.5" customHeight="1">
      <c r="A13" s="9" t="str">
        <f>"From: "&amp;IF(Header!B16="","",Header!B16)&amp;"  →  "&amp;IF(Header!B17="","",Header!B17)&amp;"   |   Ship date: "&amp;IF(Header!B13="","",Header!B13)&amp;"   |   "&amp;IF(Header!B14="","",Header!B14)</f>
        <v>From: Japan  →     |   Ship date:    |   </v>
      </c>
    </row>
    <row r="14" ht="22.5" customHeight="1">
      <c r="A14" s="9" t="str">
        <f>"Carrier / AWB: "&amp;IF(Header!B15="","",Header!B15)</f>
        <v>Carrier / AWB: </v>
      </c>
    </row>
    <row r="15" ht="24.75" customHeight="1">
      <c r="A15" s="23" t="s">
        <v>165</v>
      </c>
      <c r="B15" s="23" t="s">
        <v>167</v>
      </c>
      <c r="C15" s="23" t="s">
        <v>168</v>
      </c>
      <c r="D15" s="23" t="s">
        <v>169</v>
      </c>
      <c r="E15" s="23" t="s">
        <v>170</v>
      </c>
      <c r="F15" s="23" t="s">
        <v>171</v>
      </c>
      <c r="G15" s="23" t="s">
        <v>172</v>
      </c>
      <c r="H15" s="23" t="s">
        <v>173</v>
      </c>
    </row>
    <row r="16" ht="37.5" customHeight="1">
      <c r="A16" s="24" t="str">
        <f>IF(Items!B13="","",11)</f>
        <v/>
      </c>
      <c r="B16" s="24" t="str">
        <f>IF(Items!B13="","",Items!B13&amp;IF(Items!A13="","",CHAR(10)&amp;"SKU: "&amp;Items!A13))</f>
        <v/>
      </c>
      <c r="C16" s="24" t="str">
        <f>IF(Items!B13="","",IF(Items!C13="","",Items!C13))</f>
        <v/>
      </c>
      <c r="D16" s="24" t="str">
        <f>IF(Items!B13="","",IF(Items!D13="","",Items!D13))</f>
        <v/>
      </c>
      <c r="E16" s="25" t="str">
        <f>IF(Items!B13="","",IF(Items!E13="","",Items!E13))</f>
        <v/>
      </c>
      <c r="F16" s="24" t="str">
        <f>IF(Items!B13="","",IF(Items!F13="","",Items!F13))</f>
        <v/>
      </c>
      <c r="G16" s="26" t="str">
        <f>IF(Items!B13="","",IF(Items!G13="","",Items!G13))</f>
        <v/>
      </c>
      <c r="H16" s="27" t="str">
        <f>IF(Items!B13="","",IF(Items!K13="","",Items!K13))</f>
        <v/>
      </c>
    </row>
    <row r="17" ht="37.5" customHeight="1">
      <c r="A17" s="28" t="str">
        <f>IF(Items!B14="","",12)</f>
        <v/>
      </c>
      <c r="B17" s="28" t="str">
        <f>IF(Items!B14="","",Items!B14&amp;IF(Items!A14="","",CHAR(10)&amp;"SKU: "&amp;Items!A14))</f>
        <v/>
      </c>
      <c r="C17" s="28" t="str">
        <f>IF(Items!B14="","",IF(Items!C14="","",Items!C14))</f>
        <v/>
      </c>
      <c r="D17" s="28" t="str">
        <f>IF(Items!B14="","",IF(Items!D14="","",Items!D14))</f>
        <v/>
      </c>
      <c r="E17" s="29" t="str">
        <f>IF(Items!B14="","",IF(Items!E14="","",Items!E14))</f>
        <v/>
      </c>
      <c r="F17" s="28" t="str">
        <f>IF(Items!B14="","",IF(Items!F14="","",Items!F14))</f>
        <v/>
      </c>
      <c r="G17" s="30" t="str">
        <f>IF(Items!B14="","",IF(Items!G14="","",Items!G14))</f>
        <v/>
      </c>
      <c r="H17" s="31" t="str">
        <f>IF(Items!B14="","",IF(Items!K14="","",Items!K14))</f>
        <v/>
      </c>
    </row>
    <row r="18" ht="37.5" customHeight="1">
      <c r="A18" s="24" t="str">
        <f>IF(Items!B15="","",13)</f>
        <v/>
      </c>
      <c r="B18" s="24" t="str">
        <f>IF(Items!B15="","",Items!B15&amp;IF(Items!A15="","",CHAR(10)&amp;"SKU: "&amp;Items!A15))</f>
        <v/>
      </c>
      <c r="C18" s="24" t="str">
        <f>IF(Items!B15="","",IF(Items!C15="","",Items!C15))</f>
        <v/>
      </c>
      <c r="D18" s="24" t="str">
        <f>IF(Items!B15="","",IF(Items!D15="","",Items!D15))</f>
        <v/>
      </c>
      <c r="E18" s="25" t="str">
        <f>IF(Items!B15="","",IF(Items!E15="","",Items!E15))</f>
        <v/>
      </c>
      <c r="F18" s="24" t="str">
        <f>IF(Items!B15="","",IF(Items!F15="","",Items!F15))</f>
        <v/>
      </c>
      <c r="G18" s="26" t="str">
        <f>IF(Items!B15="","",IF(Items!G15="","",Items!G15))</f>
        <v/>
      </c>
      <c r="H18" s="27" t="str">
        <f>IF(Items!B15="","",IF(Items!K15="","",Items!K15))</f>
        <v/>
      </c>
    </row>
    <row r="19" ht="37.5" customHeight="1">
      <c r="A19" s="28" t="str">
        <f>IF(Items!B16="","",14)</f>
        <v/>
      </c>
      <c r="B19" s="28" t="str">
        <f>IF(Items!B16="","",Items!B16&amp;IF(Items!A16="","",CHAR(10)&amp;"SKU: "&amp;Items!A16))</f>
        <v/>
      </c>
      <c r="C19" s="28" t="str">
        <f>IF(Items!B16="","",IF(Items!C16="","",Items!C16))</f>
        <v/>
      </c>
      <c r="D19" s="28" t="str">
        <f>IF(Items!B16="","",IF(Items!D16="","",Items!D16))</f>
        <v/>
      </c>
      <c r="E19" s="29" t="str">
        <f>IF(Items!B16="","",IF(Items!E16="","",Items!E16))</f>
        <v/>
      </c>
      <c r="F19" s="28" t="str">
        <f>IF(Items!B16="","",IF(Items!F16="","",Items!F16))</f>
        <v/>
      </c>
      <c r="G19" s="30" t="str">
        <f>IF(Items!B16="","",IF(Items!G16="","",Items!G16))</f>
        <v/>
      </c>
      <c r="H19" s="31" t="str">
        <f>IF(Items!B16="","",IF(Items!K16="","",Items!K16))</f>
        <v/>
      </c>
    </row>
    <row r="20" ht="37.5" customHeight="1">
      <c r="A20" s="24" t="str">
        <f>IF(Items!B17="","",15)</f>
        <v/>
      </c>
      <c r="B20" s="24" t="str">
        <f>IF(Items!B17="","",Items!B17&amp;IF(Items!A17="","",CHAR(10)&amp;"SKU: "&amp;Items!A17))</f>
        <v/>
      </c>
      <c r="C20" s="24" t="str">
        <f>IF(Items!B17="","",IF(Items!C17="","",Items!C17))</f>
        <v/>
      </c>
      <c r="D20" s="24" t="str">
        <f>IF(Items!B17="","",IF(Items!D17="","",Items!D17))</f>
        <v/>
      </c>
      <c r="E20" s="25" t="str">
        <f>IF(Items!B17="","",IF(Items!E17="","",Items!E17))</f>
        <v/>
      </c>
      <c r="F20" s="24" t="str">
        <f>IF(Items!B17="","",IF(Items!F17="","",Items!F17))</f>
        <v/>
      </c>
      <c r="G20" s="26" t="str">
        <f>IF(Items!B17="","",IF(Items!G17="","",Items!G17))</f>
        <v/>
      </c>
      <c r="H20" s="27" t="str">
        <f>IF(Items!B17="","",IF(Items!K17="","",Items!K17))</f>
        <v/>
      </c>
    </row>
    <row r="21" ht="37.5" customHeight="1">
      <c r="A21" s="28" t="str">
        <f>IF(Items!B18="","",16)</f>
        <v/>
      </c>
      <c r="B21" s="28" t="str">
        <f>IF(Items!B18="","",Items!B18&amp;IF(Items!A18="","",CHAR(10)&amp;"SKU: "&amp;Items!A18))</f>
        <v/>
      </c>
      <c r="C21" s="28" t="str">
        <f>IF(Items!B18="","",IF(Items!C18="","",Items!C18))</f>
        <v/>
      </c>
      <c r="D21" s="28" t="str">
        <f>IF(Items!B18="","",IF(Items!D18="","",Items!D18))</f>
        <v/>
      </c>
      <c r="E21" s="29" t="str">
        <f>IF(Items!B18="","",IF(Items!E18="","",Items!E18))</f>
        <v/>
      </c>
      <c r="F21" s="28" t="str">
        <f>IF(Items!B18="","",IF(Items!F18="","",Items!F18))</f>
        <v/>
      </c>
      <c r="G21" s="30" t="str">
        <f>IF(Items!B18="","",IF(Items!G18="","",Items!G18))</f>
        <v/>
      </c>
      <c r="H21" s="31" t="str">
        <f>IF(Items!B18="","",IF(Items!K18="","",Items!K18))</f>
        <v/>
      </c>
    </row>
    <row r="22" ht="37.5" customHeight="1">
      <c r="A22" s="24" t="str">
        <f>IF(Items!B19="","",17)</f>
        <v/>
      </c>
      <c r="B22" s="24" t="str">
        <f>IF(Items!B19="","",Items!B19&amp;IF(Items!A19="","",CHAR(10)&amp;"SKU: "&amp;Items!A19))</f>
        <v/>
      </c>
      <c r="C22" s="24" t="str">
        <f>IF(Items!B19="","",IF(Items!C19="","",Items!C19))</f>
        <v/>
      </c>
      <c r="D22" s="24" t="str">
        <f>IF(Items!B19="","",IF(Items!D19="","",Items!D19))</f>
        <v/>
      </c>
      <c r="E22" s="25" t="str">
        <f>IF(Items!B19="","",IF(Items!E19="","",Items!E19))</f>
        <v/>
      </c>
      <c r="F22" s="24" t="str">
        <f>IF(Items!B19="","",IF(Items!F19="","",Items!F19))</f>
        <v/>
      </c>
      <c r="G22" s="26" t="str">
        <f>IF(Items!B19="","",IF(Items!G19="","",Items!G19))</f>
        <v/>
      </c>
      <c r="H22" s="27" t="str">
        <f>IF(Items!B19="","",IF(Items!K19="","",Items!K19))</f>
        <v/>
      </c>
    </row>
    <row r="23" ht="37.5" customHeight="1">
      <c r="A23" s="28" t="str">
        <f>IF(Items!B20="","",18)</f>
        <v/>
      </c>
      <c r="B23" s="28" t="str">
        <f>IF(Items!B20="","",Items!B20&amp;IF(Items!A20="","",CHAR(10)&amp;"SKU: "&amp;Items!A20))</f>
        <v/>
      </c>
      <c r="C23" s="28" t="str">
        <f>IF(Items!B20="","",IF(Items!C20="","",Items!C20))</f>
        <v/>
      </c>
      <c r="D23" s="28" t="str">
        <f>IF(Items!B20="","",IF(Items!D20="","",Items!D20))</f>
        <v/>
      </c>
      <c r="E23" s="29" t="str">
        <f>IF(Items!B20="","",IF(Items!E20="","",Items!E20))</f>
        <v/>
      </c>
      <c r="F23" s="28" t="str">
        <f>IF(Items!B20="","",IF(Items!F20="","",Items!F20))</f>
        <v/>
      </c>
      <c r="G23" s="30" t="str">
        <f>IF(Items!B20="","",IF(Items!G20="","",Items!G20))</f>
        <v/>
      </c>
      <c r="H23" s="31" t="str">
        <f>IF(Items!B20="","",IF(Items!K20="","",Items!K20))</f>
        <v/>
      </c>
    </row>
    <row r="24" ht="37.5" customHeight="1">
      <c r="A24" s="24" t="str">
        <f>IF(Items!B21="","",19)</f>
        <v/>
      </c>
      <c r="B24" s="24" t="str">
        <f>IF(Items!B21="","",Items!B21&amp;IF(Items!A21="","",CHAR(10)&amp;"SKU: "&amp;Items!A21))</f>
        <v/>
      </c>
      <c r="C24" s="24" t="str">
        <f>IF(Items!B21="","",IF(Items!C21="","",Items!C21))</f>
        <v/>
      </c>
      <c r="D24" s="24" t="str">
        <f>IF(Items!B21="","",IF(Items!D21="","",Items!D21))</f>
        <v/>
      </c>
      <c r="E24" s="25" t="str">
        <f>IF(Items!B21="","",IF(Items!E21="","",Items!E21))</f>
        <v/>
      </c>
      <c r="F24" s="24" t="str">
        <f>IF(Items!B21="","",IF(Items!F21="","",Items!F21))</f>
        <v/>
      </c>
      <c r="G24" s="26" t="str">
        <f>IF(Items!B21="","",IF(Items!G21="","",Items!G21))</f>
        <v/>
      </c>
      <c r="H24" s="27" t="str">
        <f>IF(Items!B21="","",IF(Items!K21="","",Items!K21))</f>
        <v/>
      </c>
    </row>
    <row r="25" ht="37.5" customHeight="1">
      <c r="A25" s="28" t="str">
        <f>IF(Items!B22="","",20)</f>
        <v/>
      </c>
      <c r="B25" s="28" t="str">
        <f>IF(Items!B22="","",Items!B22&amp;IF(Items!A22="","",CHAR(10)&amp;"SKU: "&amp;Items!A22))</f>
        <v/>
      </c>
      <c r="C25" s="28" t="str">
        <f>IF(Items!B22="","",IF(Items!C22="","",Items!C22))</f>
        <v/>
      </c>
      <c r="D25" s="28" t="str">
        <f>IF(Items!B22="","",IF(Items!D22="","",Items!D22))</f>
        <v/>
      </c>
      <c r="E25" s="29" t="str">
        <f>IF(Items!B22="","",IF(Items!E22="","",Items!E22))</f>
        <v/>
      </c>
      <c r="F25" s="28" t="str">
        <f>IF(Items!B22="","",IF(Items!F22="","",Items!F22))</f>
        <v/>
      </c>
      <c r="G25" s="30" t="str">
        <f>IF(Items!B22="","",IF(Items!G22="","",Items!G22))</f>
        <v/>
      </c>
      <c r="H25" s="31" t="str">
        <f>IF(Items!B22="","",IF(Items!K22="","",Items!K22))</f>
        <v/>
      </c>
    </row>
    <row r="26" ht="22.5" customHeight="1">
      <c r="A26" s="9" t="str">
        <f>IF(2=Header!B49,"Packages: "&amp;IF(Header!B32="","",Header!B32)&amp;" "&amp;IF(Header!B33="","",Header!B33)&amp;CHAR(10)&amp;"Net / Gross weight: "&amp;IF(Header!B34="","",Header!B34)&amp;" / "&amp;IF(Header!B35="","",Header!B35)&amp;" "&amp;IF(Header!B36="","",Header!B36),IF(2&lt;=Header!B49,"Continued on next page", ""))</f>
        <v/>
      </c>
      <c r="F26" s="4" t="str">
        <f>IF(2=Header!B49,"Subtotal","")</f>
        <v/>
      </c>
      <c r="H26" s="22" t="str">
        <f>IF(2=Header!B49,Header!B50,"")</f>
        <v/>
      </c>
    </row>
    <row r="27" ht="22.5" customHeight="1">
      <c r="F27" s="4" t="str">
        <f>IF(2=Header!B49,"Freight","")</f>
        <v/>
      </c>
      <c r="H27" s="22" t="str">
        <f>IF(2=Header!B49,Header!B37,"")</f>
        <v/>
      </c>
    </row>
    <row r="28" ht="22.5" customHeight="1">
      <c r="A28" s="21" t="str">
        <f>IF(2=Header!B49,IF(Header!B40="","",Header!B40),"")</f>
        <v/>
      </c>
      <c r="F28" s="4" t="str">
        <f>IF(2=Header!B49,"Insurance","")</f>
        <v/>
      </c>
      <c r="H28" s="22" t="str">
        <f>IF(2=Header!B49,Header!B38,"")</f>
        <v/>
      </c>
    </row>
    <row r="29" ht="22.5" customHeight="1">
      <c r="F29" s="4" t="str">
        <f>IF(2=Header!B49,"Other charges","")</f>
        <v/>
      </c>
      <c r="H29" s="22" t="str">
        <f>IF(2=Header!B49,Header!B39,"")</f>
        <v/>
      </c>
    </row>
    <row r="30" ht="22.5" customHeight="1">
      <c r="F30" s="5" t="str">
        <f>IF(2=Header!B49,"TOTAL","")</f>
        <v/>
      </c>
      <c r="H30" s="32" t="str">
        <f>IF(2=Header!B49,Header!B51,"")</f>
        <v/>
      </c>
    </row>
    <row r="31" ht="22.5" customHeight="1">
      <c r="A31" s="33" t="str">
        <f>IF(2=Header!B49,IF(Header!B3="COMMERCIAL",IF(Header!B43="","",Header!B43),IF(Header!B44="","",Header!B44)),"")</f>
        <v/>
      </c>
    </row>
    <row r="32" ht="22.5" customHeight="1"/>
    <row r="33" ht="22.5" customHeight="1">
      <c r="A33" s="4" t="str">
        <f>IF(2=Header!B49,"Authorized signatory","")</f>
        <v/>
      </c>
      <c r="E33" s="4" t="str">
        <f>IF(2=Header!B49,"Signature / Date","")</f>
        <v/>
      </c>
    </row>
    <row r="34" ht="22.5" customHeight="1">
      <c r="A34" s="9" t="str">
        <f>IF(AND(2=Header!B49,Header!B41&lt;&gt;""),IF(Header!B41="","",Header!B41)&amp;CHAR(10)&amp;IF(Header!B42="","",Header!B42),"")</f>
        <v/>
      </c>
      <c r="E34" s="4"/>
    </row>
    <row r="35" ht="22.5" customHeight="1">
      <c r="E35" s="34"/>
      <c r="F35" s="34"/>
      <c r="G35" s="34"/>
      <c r="H35" s="34"/>
    </row>
    <row r="36" ht="22.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35" t="str">
        <f>IF(2&lt;=Header!B49,IF(Header!B4="","",Header!B4)&amp;"    •    2 / "&amp;Header!B49,"")</f>
        <v/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E8:H8"/>
    <mergeCell ref="E9:H10"/>
    <mergeCell ref="A11:H11"/>
    <mergeCell ref="A12:H12"/>
    <mergeCell ref="A13:H13"/>
    <mergeCell ref="A14:H14"/>
    <mergeCell ref="A1:H1"/>
    <mergeCell ref="A2:H2"/>
    <mergeCell ref="A3:D3"/>
    <mergeCell ref="E3:H3"/>
    <mergeCell ref="A4:D4"/>
    <mergeCell ref="E4:H4"/>
    <mergeCell ref="E5:H7"/>
    <mergeCell ref="F28:G28"/>
    <mergeCell ref="F29:G29"/>
    <mergeCell ref="A31:H32"/>
    <mergeCell ref="A33:D33"/>
    <mergeCell ref="E33:H33"/>
    <mergeCell ref="A34:D35"/>
    <mergeCell ref="E34:H35"/>
    <mergeCell ref="A37:H37"/>
    <mergeCell ref="A5:D7"/>
    <mergeCell ref="A8:D8"/>
    <mergeCell ref="A9:D10"/>
    <mergeCell ref="A26:E27"/>
    <mergeCell ref="F26:G26"/>
    <mergeCell ref="F27:G27"/>
    <mergeCell ref="A28:E30"/>
    <mergeCell ref="F30:G3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35.0"/>
    <col customWidth="1" min="3" max="3" width="11.0"/>
    <col customWidth="1" min="4" max="4" width="10.0"/>
    <col customWidth="1" min="5" max="6" width="8.0"/>
    <col customWidth="1" min="7" max="7" width="12.0"/>
    <col customWidth="1" min="8" max="8" width="14.0"/>
    <col customWidth="1" min="9" max="26" width="8.63"/>
  </cols>
  <sheetData>
    <row r="1" ht="42.0" customHeight="1">
      <c r="A1" s="15" t="str">
        <f>IF(3&lt;=Header!B49,IF(Header!B3="PROFORMA","PROFORMA INVOICE","COMMERCIAL INVOICE"),"UNUSED PAGE — DO NOT PRINT")</f>
        <v>UNUSED PAGE — DO NOT PRINT</v>
      </c>
    </row>
    <row r="2" ht="18.75" customHeight="1">
      <c r="A2" s="19" t="str">
        <f>IF(Header!B45="DRAFT","DRAFT / NOT FOR SHIPMENT",IF(Header!B53&lt;&gt;"BASIC CHECK OK","CHECK INPUTS BEFORE ISSUE",""))</f>
        <v>DRAFT / NOT FOR SHIPMENT</v>
      </c>
    </row>
    <row r="3" ht="22.5" customHeight="1">
      <c r="A3" s="4" t="str">
        <f>"Invoice No.  "&amp;IF(Header!B4="","",Header!B4)&amp;"    |    Date  "&amp;IF(Header!B5="","",Header!B5)</f>
        <v>Invoice No.      |    Date  </v>
      </c>
      <c r="E3" s="4" t="str">
        <f>"Currency  "&amp;IF(Header!B6="","",Header!B6)&amp;"     |     Page 3 / "&amp;Header!B49</f>
        <v>Currency  USD     |     Page 3 / 1</v>
      </c>
    </row>
    <row r="4" ht="22.5" customHeight="1">
      <c r="A4" s="6" t="s">
        <v>127</v>
      </c>
      <c r="E4" s="6" t="s">
        <v>129</v>
      </c>
    </row>
    <row r="5" ht="27.0" customHeight="1">
      <c r="A5" s="21" t="str">
        <f>IF(Header!B18="","",IF(Header!B18="","",Header!B18)&amp;CHAR(10)&amp;IF(Header!B19="","",Header!B19)&amp;CHAR(10)&amp;IF(Header!B20="","",Header!B20)&amp;IF(Header!B21="","",CHAR(10)&amp;"Tax / Reg. ID: "&amp;Header!B21))</f>
        <v/>
      </c>
      <c r="E5" s="21" t="str">
        <f>IF(Header!B22="","",IF(Header!B22="","",Header!B22)&amp;CHAR(10)&amp;IF(Header!B23="","",Header!B23)&amp;CHAR(10)&amp;IF(Header!B24="","",Header!B24)&amp;IF(Header!B25="","",CHAR(10)&amp;"Tax / Reg. ID: "&amp;Header!B25))</f>
        <v/>
      </c>
    </row>
    <row r="6" ht="27.0" customHeight="1"/>
    <row r="7" ht="27.0" customHeight="1"/>
    <row r="8" ht="22.5" customHeight="1">
      <c r="A8" s="6" t="s">
        <v>155</v>
      </c>
      <c r="E8" s="6" t="s">
        <v>156</v>
      </c>
    </row>
    <row r="9" ht="25.5" customHeight="1">
      <c r="A9" s="9" t="str">
        <f>IF(Header!B26="","Same as buyer",IF(Header!B26="","",Header!B26)&amp;CHAR(10)&amp;IF(Header!B27="","",Header!B27)&amp;CHAR(10)&amp;IF(Header!B28="","",Header!B28))</f>
        <v>Same as buyer</v>
      </c>
      <c r="E9" s="9" t="str">
        <f>IF(Header!B29="","Same as buyer",IF(Header!B29="","",Header!B29)&amp;CHAR(10)&amp;IF(Header!B30="","",Header!B30)&amp;IF(Header!B31="","",CHAR(10)&amp;"Tax / Reg. ID: "&amp;Header!B31))</f>
        <v>Same as buyer</v>
      </c>
    </row>
    <row r="10" ht="25.5" customHeight="1"/>
    <row r="11" ht="22.5" customHeight="1">
      <c r="A11" s="9" t="str">
        <f>"Terms: "&amp;IF(Header!B9="","",Header!B9)&amp;"   |   Payment: "&amp;IF(Header!B8="","",Header!B8)</f>
        <v>Terms:    |   Payment: </v>
      </c>
    </row>
    <row r="12" ht="22.5" customHeight="1">
      <c r="A12" s="9" t="str">
        <f>"Purpose: "&amp;IF(Header!B10="","",Header!B10)&amp;"   |   PO: "&amp;IF(Header!B11="","",Header!B11)&amp;IF(Header!B3="PROFORMA","   |   Valid until: "&amp;IF(Header!B12="","",Header!B12),"")</f>
        <v>Purpose:    |   PO:    |   Valid until: </v>
      </c>
    </row>
    <row r="13" ht="22.5" customHeight="1">
      <c r="A13" s="9" t="str">
        <f>"From: "&amp;IF(Header!B16="","",Header!B16)&amp;"  →  "&amp;IF(Header!B17="","",Header!B17)&amp;"   |   Ship date: "&amp;IF(Header!B13="","",Header!B13)&amp;"   |   "&amp;IF(Header!B14="","",Header!B14)</f>
        <v>From: Japan  →     |   Ship date:    |   </v>
      </c>
    </row>
    <row r="14" ht="22.5" customHeight="1">
      <c r="A14" s="9" t="str">
        <f>"Carrier / AWB: "&amp;IF(Header!B15="","",Header!B15)</f>
        <v>Carrier / AWB: </v>
      </c>
    </row>
    <row r="15" ht="24.75" customHeight="1">
      <c r="A15" s="23" t="s">
        <v>165</v>
      </c>
      <c r="B15" s="23" t="s">
        <v>167</v>
      </c>
      <c r="C15" s="23" t="s">
        <v>168</v>
      </c>
      <c r="D15" s="23" t="s">
        <v>169</v>
      </c>
      <c r="E15" s="23" t="s">
        <v>170</v>
      </c>
      <c r="F15" s="23" t="s">
        <v>171</v>
      </c>
      <c r="G15" s="23" t="s">
        <v>172</v>
      </c>
      <c r="H15" s="23" t="s">
        <v>173</v>
      </c>
    </row>
    <row r="16" ht="37.5" customHeight="1">
      <c r="A16" s="24" t="str">
        <f>IF(Items!B23="","",21)</f>
        <v/>
      </c>
      <c r="B16" s="24" t="str">
        <f>IF(Items!B23="","",Items!B23&amp;IF(Items!A23="","",CHAR(10)&amp;"SKU: "&amp;Items!A23))</f>
        <v/>
      </c>
      <c r="C16" s="24" t="str">
        <f>IF(Items!B23="","",IF(Items!C23="","",Items!C23))</f>
        <v/>
      </c>
      <c r="D16" s="24" t="str">
        <f>IF(Items!B23="","",IF(Items!D23="","",Items!D23))</f>
        <v/>
      </c>
      <c r="E16" s="25" t="str">
        <f>IF(Items!B23="","",IF(Items!E23="","",Items!E23))</f>
        <v/>
      </c>
      <c r="F16" s="24" t="str">
        <f>IF(Items!B23="","",IF(Items!F23="","",Items!F23))</f>
        <v/>
      </c>
      <c r="G16" s="26" t="str">
        <f>IF(Items!B23="","",IF(Items!G23="","",Items!G23))</f>
        <v/>
      </c>
      <c r="H16" s="27" t="str">
        <f>IF(Items!B23="","",IF(Items!K23="","",Items!K23))</f>
        <v/>
      </c>
    </row>
    <row r="17" ht="37.5" customHeight="1">
      <c r="A17" s="28" t="str">
        <f>IF(Items!B24="","",22)</f>
        <v/>
      </c>
      <c r="B17" s="28" t="str">
        <f>IF(Items!B24="","",Items!B24&amp;IF(Items!A24="","",CHAR(10)&amp;"SKU: "&amp;Items!A24))</f>
        <v/>
      </c>
      <c r="C17" s="28" t="str">
        <f>IF(Items!B24="","",IF(Items!C24="","",Items!C24))</f>
        <v/>
      </c>
      <c r="D17" s="28" t="str">
        <f>IF(Items!B24="","",IF(Items!D24="","",Items!D24))</f>
        <v/>
      </c>
      <c r="E17" s="29" t="str">
        <f>IF(Items!B24="","",IF(Items!E24="","",Items!E24))</f>
        <v/>
      </c>
      <c r="F17" s="28" t="str">
        <f>IF(Items!B24="","",IF(Items!F24="","",Items!F24))</f>
        <v/>
      </c>
      <c r="G17" s="30" t="str">
        <f>IF(Items!B24="","",IF(Items!G24="","",Items!G24))</f>
        <v/>
      </c>
      <c r="H17" s="31" t="str">
        <f>IF(Items!B24="","",IF(Items!K24="","",Items!K24))</f>
        <v/>
      </c>
    </row>
    <row r="18" ht="37.5" customHeight="1">
      <c r="A18" s="24" t="str">
        <f>IF(Items!B25="","",23)</f>
        <v/>
      </c>
      <c r="B18" s="24" t="str">
        <f>IF(Items!B25="","",Items!B25&amp;IF(Items!A25="","",CHAR(10)&amp;"SKU: "&amp;Items!A25))</f>
        <v/>
      </c>
      <c r="C18" s="24" t="str">
        <f>IF(Items!B25="","",IF(Items!C25="","",Items!C25))</f>
        <v/>
      </c>
      <c r="D18" s="24" t="str">
        <f>IF(Items!B25="","",IF(Items!D25="","",Items!D25))</f>
        <v/>
      </c>
      <c r="E18" s="25" t="str">
        <f>IF(Items!B25="","",IF(Items!E25="","",Items!E25))</f>
        <v/>
      </c>
      <c r="F18" s="24" t="str">
        <f>IF(Items!B25="","",IF(Items!F25="","",Items!F25))</f>
        <v/>
      </c>
      <c r="G18" s="26" t="str">
        <f>IF(Items!B25="","",IF(Items!G25="","",Items!G25))</f>
        <v/>
      </c>
      <c r="H18" s="27" t="str">
        <f>IF(Items!B25="","",IF(Items!K25="","",Items!K25))</f>
        <v/>
      </c>
    </row>
    <row r="19" ht="37.5" customHeight="1">
      <c r="A19" s="28" t="str">
        <f>IF(Items!B26="","",24)</f>
        <v/>
      </c>
      <c r="B19" s="28" t="str">
        <f>IF(Items!B26="","",Items!B26&amp;IF(Items!A26="","",CHAR(10)&amp;"SKU: "&amp;Items!A26))</f>
        <v/>
      </c>
      <c r="C19" s="28" t="str">
        <f>IF(Items!B26="","",IF(Items!C26="","",Items!C26))</f>
        <v/>
      </c>
      <c r="D19" s="28" t="str">
        <f>IF(Items!B26="","",IF(Items!D26="","",Items!D26))</f>
        <v/>
      </c>
      <c r="E19" s="29" t="str">
        <f>IF(Items!B26="","",IF(Items!E26="","",Items!E26))</f>
        <v/>
      </c>
      <c r="F19" s="28" t="str">
        <f>IF(Items!B26="","",IF(Items!F26="","",Items!F26))</f>
        <v/>
      </c>
      <c r="G19" s="30" t="str">
        <f>IF(Items!B26="","",IF(Items!G26="","",Items!G26))</f>
        <v/>
      </c>
      <c r="H19" s="31" t="str">
        <f>IF(Items!B26="","",IF(Items!K26="","",Items!K26))</f>
        <v/>
      </c>
    </row>
    <row r="20" ht="37.5" customHeight="1">
      <c r="A20" s="24" t="str">
        <f>IF(Items!B27="","",25)</f>
        <v/>
      </c>
      <c r="B20" s="24" t="str">
        <f>IF(Items!B27="","",Items!B27&amp;IF(Items!A27="","",CHAR(10)&amp;"SKU: "&amp;Items!A27))</f>
        <v/>
      </c>
      <c r="C20" s="24" t="str">
        <f>IF(Items!B27="","",IF(Items!C27="","",Items!C27))</f>
        <v/>
      </c>
      <c r="D20" s="24" t="str">
        <f>IF(Items!B27="","",IF(Items!D27="","",Items!D27))</f>
        <v/>
      </c>
      <c r="E20" s="25" t="str">
        <f>IF(Items!B27="","",IF(Items!E27="","",Items!E27))</f>
        <v/>
      </c>
      <c r="F20" s="24" t="str">
        <f>IF(Items!B27="","",IF(Items!F27="","",Items!F27))</f>
        <v/>
      </c>
      <c r="G20" s="26" t="str">
        <f>IF(Items!B27="","",IF(Items!G27="","",Items!G27))</f>
        <v/>
      </c>
      <c r="H20" s="27" t="str">
        <f>IF(Items!B27="","",IF(Items!K27="","",Items!K27))</f>
        <v/>
      </c>
    </row>
    <row r="21" ht="37.5" customHeight="1">
      <c r="A21" s="28" t="str">
        <f>IF(Items!B28="","",26)</f>
        <v/>
      </c>
      <c r="B21" s="28" t="str">
        <f>IF(Items!B28="","",Items!B28&amp;IF(Items!A28="","",CHAR(10)&amp;"SKU: "&amp;Items!A28))</f>
        <v/>
      </c>
      <c r="C21" s="28" t="str">
        <f>IF(Items!B28="","",IF(Items!C28="","",Items!C28))</f>
        <v/>
      </c>
      <c r="D21" s="28" t="str">
        <f>IF(Items!B28="","",IF(Items!D28="","",Items!D28))</f>
        <v/>
      </c>
      <c r="E21" s="29" t="str">
        <f>IF(Items!B28="","",IF(Items!E28="","",Items!E28))</f>
        <v/>
      </c>
      <c r="F21" s="28" t="str">
        <f>IF(Items!B28="","",IF(Items!F28="","",Items!F28))</f>
        <v/>
      </c>
      <c r="G21" s="30" t="str">
        <f>IF(Items!B28="","",IF(Items!G28="","",Items!G28))</f>
        <v/>
      </c>
      <c r="H21" s="31" t="str">
        <f>IF(Items!B28="","",IF(Items!K28="","",Items!K28))</f>
        <v/>
      </c>
    </row>
    <row r="22" ht="37.5" customHeight="1">
      <c r="A22" s="24" t="str">
        <f>IF(Items!B29="","",27)</f>
        <v/>
      </c>
      <c r="B22" s="24" t="str">
        <f>IF(Items!B29="","",Items!B29&amp;IF(Items!A29="","",CHAR(10)&amp;"SKU: "&amp;Items!A29))</f>
        <v/>
      </c>
      <c r="C22" s="24" t="str">
        <f>IF(Items!B29="","",IF(Items!C29="","",Items!C29))</f>
        <v/>
      </c>
      <c r="D22" s="24" t="str">
        <f>IF(Items!B29="","",IF(Items!D29="","",Items!D29))</f>
        <v/>
      </c>
      <c r="E22" s="25" t="str">
        <f>IF(Items!B29="","",IF(Items!E29="","",Items!E29))</f>
        <v/>
      </c>
      <c r="F22" s="24" t="str">
        <f>IF(Items!B29="","",IF(Items!F29="","",Items!F29))</f>
        <v/>
      </c>
      <c r="G22" s="26" t="str">
        <f>IF(Items!B29="","",IF(Items!G29="","",Items!G29))</f>
        <v/>
      </c>
      <c r="H22" s="27" t="str">
        <f>IF(Items!B29="","",IF(Items!K29="","",Items!K29))</f>
        <v/>
      </c>
    </row>
    <row r="23" ht="37.5" customHeight="1">
      <c r="A23" s="28" t="str">
        <f>IF(Items!B30="","",28)</f>
        <v/>
      </c>
      <c r="B23" s="28" t="str">
        <f>IF(Items!B30="","",Items!B30&amp;IF(Items!A30="","",CHAR(10)&amp;"SKU: "&amp;Items!A30))</f>
        <v/>
      </c>
      <c r="C23" s="28" t="str">
        <f>IF(Items!B30="","",IF(Items!C30="","",Items!C30))</f>
        <v/>
      </c>
      <c r="D23" s="28" t="str">
        <f>IF(Items!B30="","",IF(Items!D30="","",Items!D30))</f>
        <v/>
      </c>
      <c r="E23" s="29" t="str">
        <f>IF(Items!B30="","",IF(Items!E30="","",Items!E30))</f>
        <v/>
      </c>
      <c r="F23" s="28" t="str">
        <f>IF(Items!B30="","",IF(Items!F30="","",Items!F30))</f>
        <v/>
      </c>
      <c r="G23" s="30" t="str">
        <f>IF(Items!B30="","",IF(Items!G30="","",Items!G30))</f>
        <v/>
      </c>
      <c r="H23" s="31" t="str">
        <f>IF(Items!B30="","",IF(Items!K30="","",Items!K30))</f>
        <v/>
      </c>
    </row>
    <row r="24" ht="37.5" customHeight="1">
      <c r="A24" s="24" t="str">
        <f>IF(Items!B31="","",29)</f>
        <v/>
      </c>
      <c r="B24" s="24" t="str">
        <f>IF(Items!B31="","",Items!B31&amp;IF(Items!A31="","",CHAR(10)&amp;"SKU: "&amp;Items!A31))</f>
        <v/>
      </c>
      <c r="C24" s="24" t="str">
        <f>IF(Items!B31="","",IF(Items!C31="","",Items!C31))</f>
        <v/>
      </c>
      <c r="D24" s="24" t="str">
        <f>IF(Items!B31="","",IF(Items!D31="","",Items!D31))</f>
        <v/>
      </c>
      <c r="E24" s="25" t="str">
        <f>IF(Items!B31="","",IF(Items!E31="","",Items!E31))</f>
        <v/>
      </c>
      <c r="F24" s="24" t="str">
        <f>IF(Items!B31="","",IF(Items!F31="","",Items!F31))</f>
        <v/>
      </c>
      <c r="G24" s="26" t="str">
        <f>IF(Items!B31="","",IF(Items!G31="","",Items!G31))</f>
        <v/>
      </c>
      <c r="H24" s="27" t="str">
        <f>IF(Items!B31="","",IF(Items!K31="","",Items!K31))</f>
        <v/>
      </c>
    </row>
    <row r="25" ht="37.5" customHeight="1">
      <c r="A25" s="28" t="str">
        <f>IF(Items!B32="","",30)</f>
        <v/>
      </c>
      <c r="B25" s="28" t="str">
        <f>IF(Items!B32="","",Items!B32&amp;IF(Items!A32="","",CHAR(10)&amp;"SKU: "&amp;Items!A32))</f>
        <v/>
      </c>
      <c r="C25" s="28" t="str">
        <f>IF(Items!B32="","",IF(Items!C32="","",Items!C32))</f>
        <v/>
      </c>
      <c r="D25" s="28" t="str">
        <f>IF(Items!B32="","",IF(Items!D32="","",Items!D32))</f>
        <v/>
      </c>
      <c r="E25" s="29" t="str">
        <f>IF(Items!B32="","",IF(Items!E32="","",Items!E32))</f>
        <v/>
      </c>
      <c r="F25" s="28" t="str">
        <f>IF(Items!B32="","",IF(Items!F32="","",Items!F32))</f>
        <v/>
      </c>
      <c r="G25" s="30" t="str">
        <f>IF(Items!B32="","",IF(Items!G32="","",Items!G32))</f>
        <v/>
      </c>
      <c r="H25" s="31" t="str">
        <f>IF(Items!B32="","",IF(Items!K32="","",Items!K32))</f>
        <v/>
      </c>
    </row>
    <row r="26" ht="22.5" customHeight="1">
      <c r="A26" s="9" t="str">
        <f>IF(3=Header!B49,"Packages: "&amp;IF(Header!B32="","",Header!B32)&amp;" "&amp;IF(Header!B33="","",Header!B33)&amp;CHAR(10)&amp;"Net / Gross weight: "&amp;IF(Header!B34="","",Header!B34)&amp;" / "&amp;IF(Header!B35="","",Header!B35)&amp;" "&amp;IF(Header!B36="","",Header!B36),IF(3&lt;=Header!B49,"Continued on next page", ""))</f>
        <v/>
      </c>
      <c r="F26" s="4" t="str">
        <f>IF(3=Header!B49,"Subtotal","")</f>
        <v/>
      </c>
      <c r="H26" s="22" t="str">
        <f>IF(3=Header!B49,Header!B50,"")</f>
        <v/>
      </c>
    </row>
    <row r="27" ht="22.5" customHeight="1">
      <c r="F27" s="4" t="str">
        <f>IF(3=Header!B49,"Freight","")</f>
        <v/>
      </c>
      <c r="H27" s="22" t="str">
        <f>IF(3=Header!B49,Header!B37,"")</f>
        <v/>
      </c>
    </row>
    <row r="28" ht="22.5" customHeight="1">
      <c r="A28" s="21" t="str">
        <f>IF(3=Header!B49,IF(Header!B40="","",Header!B40),"")</f>
        <v/>
      </c>
      <c r="F28" s="4" t="str">
        <f>IF(3=Header!B49,"Insurance","")</f>
        <v/>
      </c>
      <c r="H28" s="22" t="str">
        <f>IF(3=Header!B49,Header!B38,"")</f>
        <v/>
      </c>
    </row>
    <row r="29" ht="22.5" customHeight="1">
      <c r="F29" s="4" t="str">
        <f>IF(3=Header!B49,"Other charges","")</f>
        <v/>
      </c>
      <c r="H29" s="22" t="str">
        <f>IF(3=Header!B49,Header!B39,"")</f>
        <v/>
      </c>
    </row>
    <row r="30" ht="22.5" customHeight="1">
      <c r="F30" s="5" t="str">
        <f>IF(3=Header!B49,"TOTAL","")</f>
        <v/>
      </c>
      <c r="H30" s="32" t="str">
        <f>IF(3=Header!B49,Header!B51,"")</f>
        <v/>
      </c>
    </row>
    <row r="31" ht="22.5" customHeight="1">
      <c r="A31" s="33" t="str">
        <f>IF(3=Header!B49,IF(Header!B3="COMMERCIAL",IF(Header!B43="","",Header!B43),IF(Header!B44="","",Header!B44)),"")</f>
        <v/>
      </c>
    </row>
    <row r="32" ht="22.5" customHeight="1"/>
    <row r="33" ht="22.5" customHeight="1">
      <c r="A33" s="4" t="str">
        <f>IF(3=Header!B49,"Authorized signatory","")</f>
        <v/>
      </c>
      <c r="E33" s="4" t="str">
        <f>IF(3=Header!B49,"Signature / Date","")</f>
        <v/>
      </c>
    </row>
    <row r="34" ht="22.5" customHeight="1">
      <c r="A34" s="9" t="str">
        <f>IF(AND(3=Header!B49,Header!B41&lt;&gt;""),IF(Header!B41="","",Header!B41)&amp;CHAR(10)&amp;IF(Header!B42="","",Header!B42),"")</f>
        <v/>
      </c>
      <c r="E34" s="4"/>
    </row>
    <row r="35" ht="22.5" customHeight="1">
      <c r="E35" s="34"/>
      <c r="F35" s="34"/>
      <c r="G35" s="34"/>
      <c r="H35" s="34"/>
    </row>
    <row r="36" ht="22.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35" t="str">
        <f>IF(3&lt;=Header!B49,IF(Header!B4="","",Header!B4)&amp;"    •    3 / "&amp;Header!B49,"")</f>
        <v/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E8:H8"/>
    <mergeCell ref="E9:H10"/>
    <mergeCell ref="A11:H11"/>
    <mergeCell ref="A12:H12"/>
    <mergeCell ref="A13:H13"/>
    <mergeCell ref="A14:H14"/>
    <mergeCell ref="A1:H1"/>
    <mergeCell ref="A2:H2"/>
    <mergeCell ref="A3:D3"/>
    <mergeCell ref="E3:H3"/>
    <mergeCell ref="A4:D4"/>
    <mergeCell ref="E4:H4"/>
    <mergeCell ref="E5:H7"/>
    <mergeCell ref="F28:G28"/>
    <mergeCell ref="F29:G29"/>
    <mergeCell ref="A31:H32"/>
    <mergeCell ref="A33:D33"/>
    <mergeCell ref="E33:H33"/>
    <mergeCell ref="A34:D35"/>
    <mergeCell ref="E34:H35"/>
    <mergeCell ref="A37:H37"/>
    <mergeCell ref="A5:D7"/>
    <mergeCell ref="A8:D8"/>
    <mergeCell ref="A9:D10"/>
    <mergeCell ref="A26:E27"/>
    <mergeCell ref="F26:G26"/>
    <mergeCell ref="F27:G27"/>
    <mergeCell ref="A28:E30"/>
    <mergeCell ref="F30:G30"/>
  </mergeCells>
  <printOptions/>
  <pageMargins bottom="0.75" footer="0.0" header="0.0" left="0.7" right="0.7" top="0.75"/>
  <pageSetup orientation="landscape"/>
  <drawing r:id="rId1"/>
</worksheet>
</file>